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My Drive\D-S Docs\matematica\Lavoro\~ Corsi ~\8 - 2015-2021 - STIN-INML - Statistica Industriale e Introduzione al Machine Learning\2025\test\"/>
    </mc:Choice>
  </mc:AlternateContent>
  <bookViews>
    <workbookView xWindow="0" yWindow="0" windowWidth="25608" windowHeight="12216"/>
  </bookViews>
  <sheets>
    <sheet name="frontespizio" sheetId="1" r:id="rId1"/>
    <sheet name="Es 1" sheetId="2" r:id="rId2"/>
    <sheet name="Es 2"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3" i="3" l="1"/>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2" i="3"/>
  <c r="T120" i="2"/>
  <c r="S120" i="2"/>
  <c r="T119" i="2"/>
  <c r="S119" i="2"/>
  <c r="T118" i="2"/>
  <c r="S118" i="2"/>
  <c r="T117" i="2"/>
  <c r="S117" i="2"/>
  <c r="T116" i="2"/>
  <c r="S116" i="2"/>
  <c r="T115" i="2"/>
  <c r="S115" i="2"/>
  <c r="T114" i="2"/>
  <c r="S114" i="2"/>
  <c r="T113" i="2"/>
  <c r="S113" i="2"/>
  <c r="T112" i="2"/>
  <c r="S112" i="2"/>
  <c r="T111" i="2"/>
  <c r="S111" i="2"/>
  <c r="T110" i="2"/>
  <c r="S110" i="2"/>
  <c r="T109" i="2"/>
  <c r="S109" i="2"/>
  <c r="T108" i="2"/>
  <c r="S108" i="2"/>
  <c r="T107" i="2"/>
  <c r="S107" i="2"/>
  <c r="T106" i="2"/>
  <c r="S106" i="2"/>
  <c r="T105" i="2"/>
  <c r="S105" i="2"/>
  <c r="T104" i="2"/>
  <c r="S104" i="2"/>
  <c r="T103" i="2"/>
  <c r="S103" i="2"/>
  <c r="T102" i="2"/>
  <c r="S102" i="2"/>
  <c r="T101" i="2"/>
  <c r="S101" i="2"/>
  <c r="T100" i="2"/>
  <c r="S100" i="2"/>
  <c r="T99" i="2"/>
  <c r="S99" i="2"/>
  <c r="T98" i="2"/>
  <c r="S98" i="2"/>
  <c r="T97" i="2"/>
  <c r="S97" i="2"/>
  <c r="T96" i="2"/>
  <c r="S96" i="2"/>
  <c r="T95" i="2"/>
  <c r="S95" i="2"/>
  <c r="T94" i="2"/>
  <c r="S94" i="2"/>
  <c r="T93" i="2"/>
  <c r="S93" i="2"/>
  <c r="T92" i="2"/>
  <c r="S92" i="2"/>
  <c r="T91" i="2"/>
  <c r="S91" i="2"/>
  <c r="T90" i="2"/>
  <c r="S90" i="2"/>
  <c r="T89" i="2"/>
  <c r="S89" i="2"/>
  <c r="T88" i="2"/>
  <c r="S88" i="2"/>
  <c r="T87" i="2"/>
  <c r="S87" i="2"/>
  <c r="T86" i="2"/>
  <c r="S86" i="2"/>
  <c r="T85" i="2"/>
  <c r="S85" i="2"/>
  <c r="T84" i="2"/>
  <c r="S84" i="2"/>
  <c r="T83" i="2"/>
  <c r="S83" i="2"/>
  <c r="T82" i="2"/>
  <c r="S82" i="2"/>
  <c r="T81" i="2"/>
  <c r="S81" i="2"/>
  <c r="T80" i="2"/>
  <c r="S80" i="2"/>
  <c r="T79" i="2"/>
  <c r="S79" i="2"/>
  <c r="T78" i="2"/>
  <c r="S78" i="2"/>
  <c r="T77" i="2"/>
  <c r="S77" i="2"/>
  <c r="T76" i="2"/>
  <c r="S76" i="2"/>
  <c r="T75" i="2"/>
  <c r="S75" i="2"/>
  <c r="T74" i="2"/>
  <c r="S74" i="2"/>
  <c r="T73" i="2"/>
  <c r="S73" i="2"/>
  <c r="T72" i="2"/>
  <c r="S72" i="2"/>
  <c r="T71" i="2"/>
  <c r="S71" i="2"/>
  <c r="T70" i="2"/>
  <c r="S70" i="2"/>
  <c r="T69" i="2"/>
  <c r="S69" i="2"/>
  <c r="T68" i="2"/>
  <c r="S68" i="2"/>
  <c r="T67" i="2"/>
  <c r="S67" i="2"/>
  <c r="T66" i="2"/>
  <c r="S66" i="2"/>
  <c r="T65" i="2"/>
  <c r="S65" i="2"/>
  <c r="T64" i="2"/>
  <c r="S64" i="2"/>
  <c r="T63" i="2"/>
  <c r="S63" i="2"/>
  <c r="T62" i="2"/>
  <c r="S62" i="2"/>
  <c r="T61" i="2"/>
  <c r="S61" i="2"/>
  <c r="T60" i="2"/>
  <c r="S60" i="2"/>
  <c r="T59" i="2"/>
  <c r="S59" i="2"/>
  <c r="T58" i="2"/>
  <c r="S58" i="2"/>
  <c r="T57" i="2"/>
  <c r="S57" i="2"/>
  <c r="T56" i="2"/>
  <c r="S56" i="2"/>
  <c r="T55" i="2"/>
  <c r="S55" i="2"/>
  <c r="T54" i="2"/>
  <c r="S54" i="2"/>
  <c r="T53" i="2"/>
  <c r="S53" i="2"/>
  <c r="T52" i="2"/>
  <c r="S52" i="2"/>
  <c r="T51" i="2"/>
  <c r="S51" i="2"/>
  <c r="T50" i="2"/>
  <c r="S50" i="2"/>
  <c r="T49" i="2"/>
  <c r="S49" i="2"/>
  <c r="T48" i="2"/>
  <c r="S48" i="2"/>
  <c r="T47" i="2"/>
  <c r="S47" i="2"/>
  <c r="T46" i="2"/>
  <c r="S46" i="2"/>
  <c r="T45" i="2"/>
  <c r="S45" i="2"/>
  <c r="T44" i="2"/>
  <c r="S44" i="2"/>
  <c r="T43" i="2"/>
  <c r="S43" i="2"/>
  <c r="T42" i="2"/>
  <c r="S42" i="2"/>
  <c r="T41" i="2"/>
  <c r="S41" i="2"/>
  <c r="T40" i="2"/>
  <c r="S40" i="2"/>
  <c r="T39" i="2"/>
  <c r="S39" i="2"/>
  <c r="T38" i="2"/>
  <c r="S38" i="2"/>
  <c r="T37" i="2"/>
  <c r="S37" i="2"/>
  <c r="T36" i="2"/>
  <c r="S36" i="2"/>
  <c r="T35" i="2"/>
  <c r="S35" i="2"/>
  <c r="T34" i="2"/>
  <c r="S34" i="2"/>
  <c r="T33" i="2"/>
  <c r="S33" i="2"/>
  <c r="T32" i="2"/>
  <c r="S32" i="2"/>
  <c r="T31" i="2"/>
  <c r="S31" i="2"/>
  <c r="T30" i="2"/>
  <c r="S30" i="2"/>
  <c r="T29" i="2"/>
  <c r="S29" i="2"/>
  <c r="T28" i="2"/>
  <c r="S28" i="2"/>
  <c r="T27" i="2"/>
  <c r="S27" i="2"/>
  <c r="T26" i="2"/>
  <c r="S26" i="2"/>
  <c r="T25" i="2"/>
  <c r="S25" i="2"/>
  <c r="T24" i="2"/>
  <c r="S24" i="2"/>
  <c r="T23" i="2"/>
  <c r="S23" i="2"/>
  <c r="T22" i="2"/>
  <c r="S22" i="2"/>
  <c r="T21" i="2"/>
  <c r="S21" i="2"/>
  <c r="T20" i="2"/>
  <c r="S20" i="2"/>
  <c r="T19" i="2"/>
  <c r="S19" i="2"/>
  <c r="T18" i="2"/>
  <c r="S18" i="2"/>
  <c r="T17" i="2"/>
  <c r="S17" i="2"/>
  <c r="T16" i="2"/>
  <c r="S16" i="2"/>
  <c r="T15" i="2"/>
  <c r="S15" i="2"/>
  <c r="T14" i="2"/>
  <c r="S14" i="2"/>
  <c r="T13" i="2"/>
  <c r="S13" i="2"/>
  <c r="T12" i="2"/>
  <c r="S12" i="2"/>
  <c r="T11" i="2"/>
  <c r="S11" i="2"/>
  <c r="T10" i="2"/>
  <c r="S10" i="2"/>
  <c r="T9" i="2"/>
  <c r="S9" i="2"/>
  <c r="T8" i="2"/>
  <c r="S8" i="2"/>
  <c r="T7" i="2"/>
  <c r="S7" i="2"/>
  <c r="T6" i="2"/>
  <c r="S6" i="2"/>
  <c r="T5" i="2"/>
  <c r="S5" i="2"/>
  <c r="T4" i="2"/>
  <c r="S4" i="2"/>
  <c r="T3" i="2"/>
  <c r="S3" i="2"/>
  <c r="T2" i="2"/>
  <c r="S2" i="2"/>
  <c r="T1" i="2"/>
  <c r="S1" i="2"/>
</calcChain>
</file>

<file path=xl/sharedStrings.xml><?xml version="1.0" encoding="utf-8"?>
<sst xmlns="http://schemas.openxmlformats.org/spreadsheetml/2006/main" count="1088" uniqueCount="73">
  <si>
    <t>Appello</t>
  </si>
  <si>
    <t>Nome</t>
  </si>
  <si>
    <t>Mario</t>
  </si>
  <si>
    <t>Cognome</t>
  </si>
  <si>
    <t>Rossi</t>
  </si>
  <si>
    <t>Matricola</t>
  </si>
  <si>
    <t>Corso di laurea</t>
  </si>
  <si>
    <t>Indirizzo e-mail</t>
  </si>
  <si>
    <t>Fare subito "salva con nome" e chiamare il file con il proprio cognome, tipo rossi.xlsx.</t>
  </si>
  <si>
    <t>Compilare il frontespizio qua sopra con i propri dati al posto di quelli fittizi.</t>
  </si>
  <si>
    <t>Risolvere gli esercizi, salvando spesso.</t>
  </si>
  <si>
    <t>mario.rossi@studenti.unipr.it</t>
  </si>
  <si>
    <t>LM informatica/matematica ***specificare anche l'anno di immatricolazione***</t>
  </si>
  <si>
    <t>id</t>
  </si>
  <si>
    <t>Introduzione al Machine Learning 2024/25, prova pratica, appello 4, 5/9/2025</t>
  </si>
  <si>
    <r>
      <rPr>
        <b/>
        <sz val="11"/>
        <color indexed="8"/>
        <rFont val="Calibri"/>
        <family val="2"/>
      </rPr>
      <t>1.1</t>
    </r>
    <r>
      <rPr>
        <sz val="11"/>
        <color indexed="8"/>
        <rFont val="Calibri"/>
        <family val="2"/>
      </rPr>
      <t xml:space="preserve"> Si lanciano 6 dadi normali e se ne calcola la media aritmetica X. Determinare analiticamente E(X) e Var(X). Studiare la distribuzione di X con una simulazione Monte Carlo. Mostrare in particolare come e quanto si discosta da una Gaussiana.</t>
    </r>
  </si>
  <si>
    <r>
      <rPr>
        <b/>
        <sz val="11"/>
        <color indexed="8"/>
        <rFont val="Calibri"/>
        <family val="2"/>
      </rPr>
      <t>1.2</t>
    </r>
    <r>
      <rPr>
        <sz val="11"/>
        <color indexed="8"/>
        <rFont val="Calibri"/>
        <family val="2"/>
      </rPr>
      <t xml:space="preserve"> Si lancia un settimo dado Y. Determinare esattamente o stimare la probabilità che X&gt;Y (maggiore stretto). In caso di stima è richiesta una precisione di ±0.1% al 95% di confidenza.</t>
    </r>
  </si>
  <si>
    <r>
      <rPr>
        <b/>
        <sz val="11"/>
        <color indexed="8"/>
        <rFont val="Calibri"/>
        <family val="2"/>
      </rPr>
      <t>1.3</t>
    </r>
    <r>
      <rPr>
        <sz val="11"/>
        <color indexed="8"/>
        <rFont val="Calibri"/>
        <family val="2"/>
      </rPr>
      <t xml:space="preserve"> Sia Z il vettore dei risultati dei 6 dadi </t>
    </r>
    <r>
      <rPr>
        <b/>
        <sz val="11"/>
        <color indexed="8"/>
        <rFont val="Calibri"/>
        <family val="2"/>
      </rPr>
      <t>presi in ordine crescente</t>
    </r>
    <r>
      <rPr>
        <sz val="11"/>
        <color indexed="8"/>
        <rFont val="Calibri"/>
        <family val="2"/>
      </rPr>
      <t>. Stimare con una simulazione Monte Carlo il vettore media e la matrice di covarianza di Z.</t>
    </r>
  </si>
  <si>
    <r>
      <rPr>
        <b/>
        <sz val="11"/>
        <color indexed="8"/>
        <rFont val="Calibri"/>
        <family val="2"/>
      </rPr>
      <t>1.5</t>
    </r>
    <r>
      <rPr>
        <sz val="11"/>
        <color indexed="8"/>
        <rFont val="Calibri"/>
        <family val="2"/>
      </rPr>
      <t xml:space="preserve"> Ripetere il punto precedente supponendo che il dataset sia stato ottenuto simulando Z 120 volte. Cosa cambia?</t>
    </r>
  </si>
  <si>
    <r>
      <rPr>
        <b/>
        <sz val="11"/>
        <color indexed="8"/>
        <rFont val="Calibri"/>
        <family val="2"/>
      </rPr>
      <t>1.4</t>
    </r>
    <r>
      <rPr>
        <sz val="11"/>
        <color indexed="8"/>
        <rFont val="Calibri"/>
        <family val="2"/>
      </rPr>
      <t xml:space="preserve"> Eseguire la PCA del dataset qui a fianco (colonne J-O), tracciarne lo scree plot, calcolare la varianza spiegata dalle prime due componenti e tracciare lo scatter plot dei 120 punti rispetto alle prime due componenti.</t>
    </r>
  </si>
  <si>
    <r>
      <rPr>
        <b/>
        <sz val="11"/>
        <color indexed="8"/>
        <rFont val="Calibri"/>
        <family val="2"/>
      </rPr>
      <t>1.6</t>
    </r>
    <r>
      <rPr>
        <sz val="11"/>
        <color indexed="8"/>
        <rFont val="Calibri"/>
        <family val="2"/>
      </rPr>
      <t xml:space="preserve"> Considerati i due campioni alle colonne S e T (notare che sono ottenuti come incrementi del dataset), si verifichi con test opportuni:
a) se plausibilmente hanno la medesima distribuzione;
b) per ciascuno dei due, se può avere distribuzione di Poisson</t>
    </r>
  </si>
  <si>
    <r>
      <rPr>
        <b/>
        <sz val="11"/>
        <color indexed="8"/>
        <rFont val="Calibri"/>
        <family val="2"/>
      </rPr>
      <t>1.7</t>
    </r>
    <r>
      <rPr>
        <sz val="11"/>
        <color indexed="8"/>
        <rFont val="Calibri"/>
        <family val="2"/>
      </rPr>
      <t xml:space="preserve"> Supponendo che i dati del campione della colonna S abbia legge binomiale negativa generale (anche detta gamma-Poisson), si stimino i suoi due parametri con il metodo della massima verosimiglianza.</t>
    </r>
  </si>
  <si>
    <t>X</t>
  </si>
  <si>
    <t>Y</t>
  </si>
  <si>
    <t>month</t>
  </si>
  <si>
    <t>day</t>
  </si>
  <si>
    <t>FFMC</t>
  </si>
  <si>
    <t>DMC</t>
  </si>
  <si>
    <t>DC</t>
  </si>
  <si>
    <t>ISI</t>
  </si>
  <si>
    <t>temp</t>
  </si>
  <si>
    <t>RH</t>
  </si>
  <si>
    <t>wind</t>
  </si>
  <si>
    <t>rain</t>
  </si>
  <si>
    <t>area</t>
  </si>
  <si>
    <t>mar</t>
  </si>
  <si>
    <t>fri</t>
  </si>
  <si>
    <t>oct</t>
  </si>
  <si>
    <t>tue</t>
  </si>
  <si>
    <t>sat</t>
  </si>
  <si>
    <t>sun</t>
  </si>
  <si>
    <t>aug</t>
  </si>
  <si>
    <t>mon</t>
  </si>
  <si>
    <t>sep</t>
  </si>
  <si>
    <t>wed</t>
  </si>
  <si>
    <t>apr</t>
  </si>
  <si>
    <t>jun</t>
  </si>
  <si>
    <t>jul</t>
  </si>
  <si>
    <t>thu</t>
  </si>
  <si>
    <t>feb</t>
  </si>
  <si>
    <t>jan</t>
  </si>
  <si>
    <t>dec</t>
  </si>
  <si>
    <t>may</t>
  </si>
  <si>
    <t>nov</t>
  </si>
  <si>
    <t xml:space="preserve">   1. X - x-axis spatial coordinate within the Montesinho park map: 1 to 9</t>
  </si>
  <si>
    <t xml:space="preserve">   2. Y - y-axis spatial coordinate within the Montesinho park map: 2 to 9</t>
  </si>
  <si>
    <t xml:space="preserve">   3. month - month of the year: "jan" to "dec" </t>
  </si>
  <si>
    <t xml:space="preserve">   4. day - day of the week: "mon" to "sun"</t>
  </si>
  <si>
    <t xml:space="preserve">   5. FFMC - FFMC index from the FWI system: 18.7 to 96.20</t>
  </si>
  <si>
    <t xml:space="preserve">   6. DMC - DMC index from the FWI system: 1.1 to 291.3 </t>
  </si>
  <si>
    <t xml:space="preserve">   7. DC - DC index from the FWI system: 7.9 to 860.6 </t>
  </si>
  <si>
    <t xml:space="preserve">   8. ISI - ISI index from the FWI system: 0.0 to 56.10</t>
  </si>
  <si>
    <t xml:space="preserve">   9. temp - temperature in Celsius degrees: 2.2 to 33.30</t>
  </si>
  <si>
    <t xml:space="preserve">   10. RH - relative humidity in %: 15.0 to 100</t>
  </si>
  <si>
    <t xml:space="preserve">   11. wind - wind speed in km/h: 0.40 to 9.40 </t>
  </si>
  <si>
    <t xml:space="preserve">   12. rain - outside rain in mm/m2 : 0.0 to 6.4 </t>
  </si>
  <si>
    <t xml:space="preserve">   13. area - the burned area of the forest (in ha): 0.00 to 1090.84 </t>
  </si>
  <si>
    <t>large</t>
  </si>
  <si>
    <r>
      <rPr>
        <b/>
        <sz val="11"/>
        <color indexed="8"/>
        <rFont val="Calibri"/>
        <family val="2"/>
      </rPr>
      <t>2.</t>
    </r>
    <r>
      <rPr>
        <sz val="11"/>
        <color indexed="8"/>
        <rFont val="Calibri"/>
        <family val="2"/>
      </rPr>
      <t xml:space="preserve"> Il dataset qui a fianco proviene dall'UCI ML laboratory
https://archive.ics.uci.edu/dataset/162/forest+fires
Si tratta di un dataset di incendi boschivi di un'area del Portogallo. L'area è stata divisa in 9x9 sone rettangolari e le variabili X e Y denotano la posizione dell'incendio registrato. Si suppone che il mese abbia un impatto per ciclicità annuali, ma anche il giorno della settimana, perché la maggior parte degli incendi hanno origine antropica.
Gli indici FFMC, DMC, DC e ISI sono indici metereologici, i primi tre di umidità (maggiore l'indice, minore l'umidità) e il quarto di potenziale velocità di propagazione (maggiore l'indice,  più rapida la propagazione).
Seguono poi la temperatura, l'umidità relativa, la velocità del vento e la pioggia negli ultimi 30 minuti.
La variabile area è quella da prevedere. In molti casi è 0 perché l'incendio era molto piccolo e l'area è stata arrotondata a zero.
Nella colonna Z c'è una spiegazione ulteriore delle variabili.</t>
    </r>
  </si>
  <si>
    <r>
      <rPr>
        <b/>
        <sz val="11"/>
        <color indexed="8"/>
        <rFont val="Calibri"/>
        <family val="2"/>
      </rPr>
      <t>2.1</t>
    </r>
    <r>
      <rPr>
        <sz val="11"/>
        <color indexed="8"/>
        <rFont val="Calibri"/>
        <family val="2"/>
      </rPr>
      <t xml:space="preserve"> Studiare la distribuzione delle 12 variabili di input K--V, sia univariata, sia bivariata, alla ricerca di outliers e altri difetti. Si scelgano opportune trasformazioni per facilitare questo compito e per ottenere migliori risultati negli esercizi seguenti.
Si studi poi specialmente come trasformare la variabile </t>
    </r>
    <r>
      <rPr>
        <b/>
        <sz val="11"/>
        <color indexed="8"/>
        <rFont val="Calibri"/>
        <family val="2"/>
      </rPr>
      <t>area</t>
    </r>
    <r>
      <rPr>
        <sz val="11"/>
        <color indexed="8"/>
        <rFont val="Calibri"/>
        <family val="2"/>
      </rPr>
      <t xml:space="preserve"> allo stesso scopo.</t>
    </r>
  </si>
  <si>
    <r>
      <rPr>
        <b/>
        <sz val="11"/>
        <color indexed="8"/>
        <rFont val="Calibri"/>
        <family val="2"/>
      </rPr>
      <t>2.2</t>
    </r>
    <r>
      <rPr>
        <sz val="11"/>
        <color indexed="8"/>
        <rFont val="Calibri"/>
        <family val="2"/>
      </rPr>
      <t xml:space="preserve"> Si usino le 12 variabili di input (come trasformate al punto precedente), per prevedere se la variabile </t>
    </r>
    <r>
      <rPr>
        <b/>
        <sz val="11"/>
        <color indexed="8"/>
        <rFont val="Calibri"/>
        <family val="2"/>
      </rPr>
      <t>large</t>
    </r>
    <r>
      <rPr>
        <sz val="11"/>
        <color indexed="8"/>
        <rFont val="Calibri"/>
        <family val="2"/>
      </rPr>
      <t>, che dice se l'area è maggiore di zero o zero. È richiesto di usare qualche tecnica di validazione per stimare l'accuratezza del metodo.</t>
    </r>
  </si>
  <si>
    <r>
      <rPr>
        <b/>
        <sz val="11"/>
        <color indexed="8"/>
        <rFont val="Calibri"/>
        <family val="2"/>
      </rPr>
      <t xml:space="preserve">2.3 </t>
    </r>
    <r>
      <rPr>
        <sz val="11"/>
        <color indexed="8"/>
        <rFont val="Calibri"/>
        <family val="2"/>
      </rPr>
      <t xml:space="preserve">Si usino le 12 variabili di input (sempre trasformate), per prevedere la variabile </t>
    </r>
    <r>
      <rPr>
        <b/>
        <sz val="11"/>
        <color indexed="8"/>
        <rFont val="Calibri"/>
        <family val="2"/>
      </rPr>
      <t>area</t>
    </r>
    <r>
      <rPr>
        <sz val="11"/>
        <color indexed="8"/>
        <rFont val="Calibri"/>
        <family val="2"/>
      </rPr>
      <t>, opportunamente trasformata. È richiesto di considerare nonlinearità e interazioni, di fare la selezione delle variabili e di studiare i residui graficamente.</t>
    </r>
  </si>
  <si>
    <r>
      <rPr>
        <b/>
        <sz val="11"/>
        <color indexed="8"/>
        <rFont val="Calibri"/>
        <family val="2"/>
      </rPr>
      <t>2.4</t>
    </r>
    <r>
      <rPr>
        <sz val="11"/>
        <color indexed="8"/>
        <rFont val="Calibri"/>
        <family val="2"/>
      </rPr>
      <t xml:space="preserve"> Ripetere il punto precedente limitatamente agli incendi con </t>
    </r>
    <r>
      <rPr>
        <b/>
        <sz val="11"/>
        <color indexed="8"/>
        <rFont val="Calibri"/>
        <family val="2"/>
      </rPr>
      <t>large</t>
    </r>
    <r>
      <rPr>
        <sz val="11"/>
        <color indexed="8"/>
        <rFont val="Calibri"/>
        <family val="2"/>
      </rPr>
      <t xml:space="preserve">=1, ovvero con area non nulla. Se si mettono insieme il modello del punto </t>
    </r>
    <r>
      <rPr>
        <b/>
        <sz val="11"/>
        <color indexed="8"/>
        <rFont val="Calibri"/>
        <family val="2"/>
      </rPr>
      <t>2.2</t>
    </r>
    <r>
      <rPr>
        <sz val="11"/>
        <color indexed="8"/>
        <rFont val="Calibri"/>
        <family val="2"/>
      </rPr>
      <t xml:space="preserve"> e questo, nel caso che il primo preveda incendio large, si ottiene un modello predittivo più accurato?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</si>
</sst>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indexed="8"/>
      <name val="Calibri"/>
      <family val="2"/>
    </font>
    <font>
      <sz val="11"/>
      <color theme="0"/>
      <name val="Calibri"/>
      <family val="2"/>
      <scheme val="minor"/>
    </font>
    <font>
      <b/>
      <sz val="10"/>
      <name val="Verdana"/>
      <family val="2"/>
    </font>
    <font>
      <sz val="16"/>
      <name val="Comic Sans MS"/>
      <family val="4"/>
    </font>
    <font>
      <sz val="10"/>
      <name val="Verdana"/>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theme="5" tint="0.39997558519241921"/>
        <bgColor indexed="65"/>
      </patternFill>
    </fill>
  </fills>
  <borders count="2">
    <border>
      <left/>
      <right/>
      <top/>
      <bottom/>
      <diagonal/>
    </border>
    <border>
      <left/>
      <right/>
      <top/>
      <bottom style="medium">
        <color indexed="64"/>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0" fontId="2" fillId="0" borderId="1" xfId="0" applyFont="1" applyBorder="1"/>
    <xf numFmtId="0" fontId="3" fillId="0" borderId="1" xfId="0" applyFont="1" applyBorder="1"/>
    <xf numFmtId="49" fontId="3" fillId="0" borderId="1" xfId="0" applyNumberFormat="1" applyFont="1" applyBorder="1"/>
    <xf numFmtId="0" fontId="4" fillId="0" borderId="0" xfId="0" applyFont="1"/>
    <xf numFmtId="0" fontId="1" fillId="2" borderId="0" xfId="1"/>
    <xf numFmtId="0" fontId="0" fillId="0" borderId="0" xfId="0" applyAlignment="1">
      <alignment wrapText="1"/>
    </xf>
    <xf numFmtId="0" fontId="5" fillId="0" borderId="0" xfId="0" applyFont="1" applyAlignment="1">
      <alignment horizontal="center"/>
    </xf>
    <xf numFmtId="0" fontId="0" fillId="0" borderId="0" xfId="0"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wrapText="1"/>
    </xf>
    <xf numFmtId="0" fontId="6" fillId="0" borderId="0" xfId="0" applyFont="1"/>
  </cellXfs>
  <cellStyles count="2">
    <cellStyle name="60% - Accent2" xfId="1" builtinId="3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selection activeCell="B5" sqref="B5"/>
    </sheetView>
  </sheetViews>
  <sheetFormatPr defaultRowHeight="14.4" x14ac:dyDescent="0.3"/>
  <cols>
    <col min="1" max="1" width="20.44140625" customWidth="1"/>
    <col min="2" max="2" width="107.5546875" customWidth="1"/>
  </cols>
  <sheetData>
    <row r="1" spans="1:2" ht="25.8" thickBot="1" x14ac:dyDescent="0.65">
      <c r="A1" s="1" t="s">
        <v>0</v>
      </c>
      <c r="B1" s="2" t="s">
        <v>14</v>
      </c>
    </row>
    <row r="2" spans="1:2" ht="25.8" thickBot="1" x14ac:dyDescent="0.65">
      <c r="A2" s="1" t="s">
        <v>1</v>
      </c>
      <c r="B2" s="2" t="s">
        <v>2</v>
      </c>
    </row>
    <row r="3" spans="1:2" ht="25.8" thickBot="1" x14ac:dyDescent="0.65">
      <c r="A3" s="1" t="s">
        <v>3</v>
      </c>
      <c r="B3" s="2" t="s">
        <v>4</v>
      </c>
    </row>
    <row r="4" spans="1:2" ht="25.8" thickBot="1" x14ac:dyDescent="0.65">
      <c r="A4" s="1" t="s">
        <v>5</v>
      </c>
      <c r="B4" s="3">
        <v>123456</v>
      </c>
    </row>
    <row r="5" spans="1:2" ht="25.8" thickBot="1" x14ac:dyDescent="0.65">
      <c r="A5" s="1" t="s">
        <v>6</v>
      </c>
      <c r="B5" s="2" t="s">
        <v>12</v>
      </c>
    </row>
    <row r="6" spans="1:2" ht="25.8" thickBot="1" x14ac:dyDescent="0.65">
      <c r="A6" s="1" t="s">
        <v>7</v>
      </c>
      <c r="B6" s="2" t="s">
        <v>11</v>
      </c>
    </row>
    <row r="7" spans="1:2" x14ac:dyDescent="0.3">
      <c r="A7" s="4"/>
      <c r="B7" s="4"/>
    </row>
    <row r="8" spans="1:2" x14ac:dyDescent="0.3">
      <c r="A8" s="5" t="s">
        <v>8</v>
      </c>
      <c r="B8" s="5"/>
    </row>
    <row r="9" spans="1:2" x14ac:dyDescent="0.3">
      <c r="A9" s="5" t="s">
        <v>9</v>
      </c>
      <c r="B9" s="5"/>
    </row>
    <row r="10" spans="1:2" x14ac:dyDescent="0.3">
      <c r="A10" s="5" t="s">
        <v>10</v>
      </c>
      <c r="B10" s="5"/>
    </row>
    <row r="11" spans="1:2" x14ac:dyDescent="0.3">
      <c r="A11" s="4"/>
      <c r="B1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0"/>
  <sheetViews>
    <sheetView workbookViewId="0">
      <selection sqref="A1:H3"/>
    </sheetView>
  </sheetViews>
  <sheetFormatPr defaultRowHeight="14.4" x14ac:dyDescent="0.3"/>
  <sheetData>
    <row r="1" spans="1:20" ht="14.4" customHeight="1" x14ac:dyDescent="0.3">
      <c r="A1" s="10" t="s">
        <v>15</v>
      </c>
      <c r="B1" s="10"/>
      <c r="C1" s="10"/>
      <c r="D1" s="10"/>
      <c r="E1" s="10"/>
      <c r="F1" s="10"/>
      <c r="G1" s="10"/>
      <c r="H1" s="10"/>
      <c r="J1">
        <v>1</v>
      </c>
      <c r="K1">
        <v>4</v>
      </c>
      <c r="L1">
        <v>4</v>
      </c>
      <c r="M1">
        <v>5</v>
      </c>
      <c r="N1">
        <v>6</v>
      </c>
      <c r="O1">
        <v>6</v>
      </c>
      <c r="S1">
        <f>K1-J1</f>
        <v>3</v>
      </c>
      <c r="T1">
        <f t="shared" ref="T1:T64" si="0">L1-K1</f>
        <v>0</v>
      </c>
    </row>
    <row r="2" spans="1:20" x14ac:dyDescent="0.3">
      <c r="A2" s="10"/>
      <c r="B2" s="10"/>
      <c r="C2" s="10"/>
      <c r="D2" s="10"/>
      <c r="E2" s="10"/>
      <c r="F2" s="10"/>
      <c r="G2" s="10"/>
      <c r="H2" s="10"/>
      <c r="J2">
        <v>2</v>
      </c>
      <c r="K2">
        <v>3</v>
      </c>
      <c r="L2">
        <v>3</v>
      </c>
      <c r="M2">
        <v>4</v>
      </c>
      <c r="N2">
        <v>5</v>
      </c>
      <c r="O2">
        <v>6</v>
      </c>
      <c r="S2">
        <f t="shared" ref="S2:S65" si="1">K2-J2</f>
        <v>1</v>
      </c>
      <c r="T2">
        <f t="shared" si="0"/>
        <v>0</v>
      </c>
    </row>
    <row r="3" spans="1:20" x14ac:dyDescent="0.3">
      <c r="A3" s="10"/>
      <c r="B3" s="10"/>
      <c r="C3" s="10"/>
      <c r="D3" s="10"/>
      <c r="E3" s="10"/>
      <c r="F3" s="10"/>
      <c r="G3" s="10"/>
      <c r="H3" s="10"/>
      <c r="J3">
        <v>1</v>
      </c>
      <c r="K3">
        <v>2</v>
      </c>
      <c r="L3">
        <v>2</v>
      </c>
      <c r="M3">
        <v>4</v>
      </c>
      <c r="N3">
        <v>5</v>
      </c>
      <c r="O3">
        <v>6</v>
      </c>
      <c r="S3">
        <f t="shared" si="1"/>
        <v>1</v>
      </c>
      <c r="T3">
        <f t="shared" si="0"/>
        <v>0</v>
      </c>
    </row>
    <row r="4" spans="1:20" ht="14.4" customHeight="1" x14ac:dyDescent="0.3">
      <c r="J4">
        <v>1</v>
      </c>
      <c r="K4">
        <v>2</v>
      </c>
      <c r="L4">
        <v>4</v>
      </c>
      <c r="M4">
        <v>5</v>
      </c>
      <c r="N4">
        <v>6</v>
      </c>
      <c r="O4">
        <v>6</v>
      </c>
      <c r="S4">
        <f t="shared" si="1"/>
        <v>1</v>
      </c>
      <c r="T4">
        <f t="shared" si="0"/>
        <v>2</v>
      </c>
    </row>
    <row r="5" spans="1:20" x14ac:dyDescent="0.3">
      <c r="A5" s="10" t="s">
        <v>16</v>
      </c>
      <c r="B5" s="10"/>
      <c r="C5" s="10"/>
      <c r="D5" s="10"/>
      <c r="E5" s="10"/>
      <c r="F5" s="10"/>
      <c r="G5" s="10"/>
      <c r="H5" s="10"/>
      <c r="J5">
        <v>2</v>
      </c>
      <c r="K5">
        <v>3</v>
      </c>
      <c r="L5">
        <v>4</v>
      </c>
      <c r="M5">
        <v>5</v>
      </c>
      <c r="N5">
        <v>5</v>
      </c>
      <c r="O5">
        <v>6</v>
      </c>
      <c r="S5">
        <f t="shared" si="1"/>
        <v>1</v>
      </c>
      <c r="T5">
        <f t="shared" si="0"/>
        <v>1</v>
      </c>
    </row>
    <row r="6" spans="1:20" x14ac:dyDescent="0.3">
      <c r="A6" s="10"/>
      <c r="B6" s="10"/>
      <c r="C6" s="10"/>
      <c r="D6" s="10"/>
      <c r="E6" s="10"/>
      <c r="F6" s="10"/>
      <c r="G6" s="10"/>
      <c r="H6" s="10"/>
      <c r="J6">
        <v>1</v>
      </c>
      <c r="K6">
        <v>1</v>
      </c>
      <c r="L6">
        <v>2</v>
      </c>
      <c r="M6">
        <v>2</v>
      </c>
      <c r="N6">
        <v>4</v>
      </c>
      <c r="O6">
        <v>5</v>
      </c>
      <c r="S6">
        <f t="shared" si="1"/>
        <v>0</v>
      </c>
      <c r="T6">
        <f t="shared" si="0"/>
        <v>1</v>
      </c>
    </row>
    <row r="7" spans="1:20" ht="14.4" customHeight="1" x14ac:dyDescent="0.3">
      <c r="A7" s="10"/>
      <c r="B7" s="10"/>
      <c r="C7" s="10"/>
      <c r="D7" s="10"/>
      <c r="E7" s="10"/>
      <c r="F7" s="10"/>
      <c r="G7" s="10"/>
      <c r="H7" s="10"/>
      <c r="J7">
        <v>2</v>
      </c>
      <c r="K7">
        <v>2</v>
      </c>
      <c r="L7">
        <v>3</v>
      </c>
      <c r="M7">
        <v>4</v>
      </c>
      <c r="N7">
        <v>6</v>
      </c>
      <c r="O7">
        <v>6</v>
      </c>
      <c r="S7">
        <f t="shared" si="1"/>
        <v>0</v>
      </c>
      <c r="T7">
        <f t="shared" si="0"/>
        <v>1</v>
      </c>
    </row>
    <row r="8" spans="1:20" ht="14.4" customHeight="1" x14ac:dyDescent="0.3">
      <c r="J8">
        <v>3</v>
      </c>
      <c r="K8">
        <v>3</v>
      </c>
      <c r="L8">
        <v>5</v>
      </c>
      <c r="M8">
        <v>5</v>
      </c>
      <c r="N8">
        <v>5</v>
      </c>
      <c r="O8">
        <v>5</v>
      </c>
      <c r="S8">
        <f t="shared" si="1"/>
        <v>0</v>
      </c>
      <c r="T8">
        <f t="shared" si="0"/>
        <v>2</v>
      </c>
    </row>
    <row r="9" spans="1:20" ht="14.4" customHeight="1" x14ac:dyDescent="0.3">
      <c r="A9" s="10" t="s">
        <v>17</v>
      </c>
      <c r="B9" s="10"/>
      <c r="C9" s="10"/>
      <c r="D9" s="10"/>
      <c r="E9" s="10"/>
      <c r="F9" s="10"/>
      <c r="G9" s="10"/>
      <c r="H9" s="10"/>
      <c r="J9">
        <v>1</v>
      </c>
      <c r="K9">
        <v>3</v>
      </c>
      <c r="L9">
        <v>3</v>
      </c>
      <c r="M9">
        <v>4</v>
      </c>
      <c r="N9">
        <v>4</v>
      </c>
      <c r="O9">
        <v>6</v>
      </c>
      <c r="S9">
        <f t="shared" si="1"/>
        <v>2</v>
      </c>
      <c r="T9">
        <f t="shared" si="0"/>
        <v>0</v>
      </c>
    </row>
    <row r="10" spans="1:20" ht="14.4" customHeight="1" x14ac:dyDescent="0.3">
      <c r="A10" s="10"/>
      <c r="B10" s="10"/>
      <c r="C10" s="10"/>
      <c r="D10" s="10"/>
      <c r="E10" s="10"/>
      <c r="F10" s="10"/>
      <c r="G10" s="10"/>
      <c r="H10" s="10"/>
      <c r="J10">
        <v>1</v>
      </c>
      <c r="K10">
        <v>1</v>
      </c>
      <c r="L10">
        <v>3</v>
      </c>
      <c r="M10">
        <v>3</v>
      </c>
      <c r="N10">
        <v>4</v>
      </c>
      <c r="O10">
        <v>4</v>
      </c>
      <c r="S10">
        <f t="shared" si="1"/>
        <v>0</v>
      </c>
      <c r="T10">
        <f t="shared" si="0"/>
        <v>2</v>
      </c>
    </row>
    <row r="11" spans="1:20" ht="14.4" customHeight="1" x14ac:dyDescent="0.3">
      <c r="A11" s="8"/>
      <c r="B11" s="8"/>
      <c r="C11" s="8"/>
      <c r="D11" s="8"/>
      <c r="E11" s="8"/>
      <c r="F11" s="8"/>
      <c r="G11" s="8"/>
      <c r="H11" s="8"/>
      <c r="J11">
        <v>2</v>
      </c>
      <c r="K11">
        <v>2</v>
      </c>
      <c r="L11">
        <v>3</v>
      </c>
      <c r="M11">
        <v>4</v>
      </c>
      <c r="N11">
        <v>5</v>
      </c>
      <c r="O11">
        <v>5</v>
      </c>
      <c r="S11">
        <f t="shared" si="1"/>
        <v>0</v>
      </c>
      <c r="T11">
        <f t="shared" si="0"/>
        <v>1</v>
      </c>
    </row>
    <row r="12" spans="1:20" ht="14.4" customHeight="1" x14ac:dyDescent="0.3">
      <c r="A12" s="10" t="s">
        <v>19</v>
      </c>
      <c r="B12" s="10"/>
      <c r="C12" s="10"/>
      <c r="D12" s="10"/>
      <c r="E12" s="10"/>
      <c r="F12" s="10"/>
      <c r="G12" s="10"/>
      <c r="H12" s="10"/>
      <c r="J12">
        <v>3</v>
      </c>
      <c r="K12">
        <v>3</v>
      </c>
      <c r="L12">
        <v>3</v>
      </c>
      <c r="M12">
        <v>3</v>
      </c>
      <c r="N12">
        <v>5</v>
      </c>
      <c r="O12">
        <v>5</v>
      </c>
      <c r="S12">
        <f t="shared" si="1"/>
        <v>0</v>
      </c>
      <c r="T12">
        <f t="shared" si="0"/>
        <v>0</v>
      </c>
    </row>
    <row r="13" spans="1:20" x14ac:dyDescent="0.3">
      <c r="A13" s="10"/>
      <c r="B13" s="10"/>
      <c r="C13" s="10"/>
      <c r="D13" s="10"/>
      <c r="E13" s="10"/>
      <c r="F13" s="10"/>
      <c r="G13" s="10"/>
      <c r="H13" s="10"/>
      <c r="J13">
        <v>1</v>
      </c>
      <c r="K13">
        <v>2</v>
      </c>
      <c r="L13">
        <v>3</v>
      </c>
      <c r="M13">
        <v>4</v>
      </c>
      <c r="N13">
        <v>4</v>
      </c>
      <c r="O13">
        <v>6</v>
      </c>
      <c r="S13">
        <f t="shared" si="1"/>
        <v>1</v>
      </c>
      <c r="T13">
        <f t="shared" si="0"/>
        <v>1</v>
      </c>
    </row>
    <row r="14" spans="1:20" x14ac:dyDescent="0.3">
      <c r="A14" s="10"/>
      <c r="B14" s="10"/>
      <c r="C14" s="10"/>
      <c r="D14" s="10"/>
      <c r="E14" s="10"/>
      <c r="F14" s="10"/>
      <c r="G14" s="10"/>
      <c r="H14" s="10"/>
      <c r="J14">
        <v>1</v>
      </c>
      <c r="K14">
        <v>2</v>
      </c>
      <c r="L14">
        <v>3</v>
      </c>
      <c r="M14">
        <v>4</v>
      </c>
      <c r="N14">
        <v>6</v>
      </c>
      <c r="O14">
        <v>6</v>
      </c>
      <c r="S14">
        <f t="shared" si="1"/>
        <v>1</v>
      </c>
      <c r="T14">
        <f t="shared" si="0"/>
        <v>1</v>
      </c>
    </row>
    <row r="15" spans="1:20" ht="14.4" customHeight="1" x14ac:dyDescent="0.3">
      <c r="J15">
        <v>1</v>
      </c>
      <c r="K15">
        <v>2</v>
      </c>
      <c r="L15">
        <v>2</v>
      </c>
      <c r="M15">
        <v>3</v>
      </c>
      <c r="N15">
        <v>3</v>
      </c>
      <c r="O15">
        <v>6</v>
      </c>
      <c r="S15">
        <f t="shared" si="1"/>
        <v>1</v>
      </c>
      <c r="T15">
        <f t="shared" si="0"/>
        <v>0</v>
      </c>
    </row>
    <row r="16" spans="1:20" ht="14.4" customHeight="1" x14ac:dyDescent="0.3">
      <c r="A16" s="10" t="s">
        <v>18</v>
      </c>
      <c r="B16" s="10"/>
      <c r="C16" s="10"/>
      <c r="D16" s="10"/>
      <c r="E16" s="10"/>
      <c r="F16" s="10"/>
      <c r="G16" s="10"/>
      <c r="H16" s="10"/>
      <c r="J16">
        <v>1</v>
      </c>
      <c r="K16">
        <v>2</v>
      </c>
      <c r="L16">
        <v>2</v>
      </c>
      <c r="M16">
        <v>2</v>
      </c>
      <c r="N16">
        <v>4</v>
      </c>
      <c r="O16">
        <v>5</v>
      </c>
      <c r="S16">
        <f t="shared" si="1"/>
        <v>1</v>
      </c>
      <c r="T16">
        <f t="shared" si="0"/>
        <v>0</v>
      </c>
    </row>
    <row r="17" spans="1:20" ht="14.4" customHeight="1" x14ac:dyDescent="0.3">
      <c r="A17" s="10"/>
      <c r="B17" s="10"/>
      <c r="C17" s="10"/>
      <c r="D17" s="10"/>
      <c r="E17" s="10"/>
      <c r="F17" s="10"/>
      <c r="G17" s="10"/>
      <c r="H17" s="10"/>
      <c r="J17">
        <v>1</v>
      </c>
      <c r="K17">
        <v>1</v>
      </c>
      <c r="L17">
        <v>2</v>
      </c>
      <c r="M17">
        <v>2</v>
      </c>
      <c r="N17">
        <v>2</v>
      </c>
      <c r="O17">
        <v>3</v>
      </c>
      <c r="S17">
        <f t="shared" si="1"/>
        <v>0</v>
      </c>
      <c r="T17">
        <f t="shared" si="0"/>
        <v>1</v>
      </c>
    </row>
    <row r="18" spans="1:20" ht="14.4" customHeight="1" x14ac:dyDescent="0.3">
      <c r="A18" s="8"/>
      <c r="B18" s="8"/>
      <c r="C18" s="8"/>
      <c r="D18" s="8"/>
      <c r="E18" s="8"/>
      <c r="F18" s="8"/>
      <c r="G18" s="8"/>
      <c r="H18" s="8"/>
      <c r="J18">
        <v>1</v>
      </c>
      <c r="K18">
        <v>3</v>
      </c>
      <c r="L18">
        <v>3</v>
      </c>
      <c r="M18">
        <v>4</v>
      </c>
      <c r="N18">
        <v>6</v>
      </c>
      <c r="O18">
        <v>6</v>
      </c>
      <c r="S18">
        <f t="shared" si="1"/>
        <v>2</v>
      </c>
      <c r="T18">
        <f t="shared" si="0"/>
        <v>0</v>
      </c>
    </row>
    <row r="19" spans="1:20" ht="14.4" customHeight="1" x14ac:dyDescent="0.3">
      <c r="A19" s="10" t="s">
        <v>20</v>
      </c>
      <c r="B19" s="10"/>
      <c r="C19" s="10"/>
      <c r="D19" s="10"/>
      <c r="E19" s="10"/>
      <c r="F19" s="10"/>
      <c r="G19" s="10"/>
      <c r="H19" s="10"/>
      <c r="J19">
        <v>1</v>
      </c>
      <c r="K19">
        <v>2</v>
      </c>
      <c r="L19">
        <v>2</v>
      </c>
      <c r="M19">
        <v>4</v>
      </c>
      <c r="N19">
        <v>4</v>
      </c>
      <c r="O19">
        <v>5</v>
      </c>
      <c r="S19">
        <f t="shared" si="1"/>
        <v>1</v>
      </c>
      <c r="T19">
        <f t="shared" si="0"/>
        <v>0</v>
      </c>
    </row>
    <row r="20" spans="1:20" ht="14.4" customHeight="1" x14ac:dyDescent="0.3">
      <c r="A20" s="10"/>
      <c r="B20" s="10"/>
      <c r="C20" s="10"/>
      <c r="D20" s="10"/>
      <c r="E20" s="10"/>
      <c r="F20" s="10"/>
      <c r="G20" s="10"/>
      <c r="H20" s="10"/>
      <c r="J20">
        <v>2</v>
      </c>
      <c r="K20">
        <v>2</v>
      </c>
      <c r="L20">
        <v>3</v>
      </c>
      <c r="M20">
        <v>4</v>
      </c>
      <c r="N20">
        <v>6</v>
      </c>
      <c r="O20">
        <v>6</v>
      </c>
      <c r="S20">
        <f t="shared" si="1"/>
        <v>0</v>
      </c>
      <c r="T20">
        <f t="shared" si="0"/>
        <v>1</v>
      </c>
    </row>
    <row r="21" spans="1:20" ht="14.4" customHeight="1" x14ac:dyDescent="0.3">
      <c r="A21" s="10"/>
      <c r="B21" s="10"/>
      <c r="C21" s="10"/>
      <c r="D21" s="10"/>
      <c r="E21" s="10"/>
      <c r="F21" s="10"/>
      <c r="G21" s="10"/>
      <c r="H21" s="10"/>
      <c r="J21">
        <v>1</v>
      </c>
      <c r="K21">
        <v>3</v>
      </c>
      <c r="L21">
        <v>4</v>
      </c>
      <c r="M21">
        <v>5</v>
      </c>
      <c r="N21">
        <v>5</v>
      </c>
      <c r="O21">
        <v>6</v>
      </c>
      <c r="S21">
        <f t="shared" si="1"/>
        <v>2</v>
      </c>
      <c r="T21">
        <f t="shared" si="0"/>
        <v>1</v>
      </c>
    </row>
    <row r="22" spans="1:20" x14ac:dyDescent="0.3">
      <c r="A22" s="10"/>
      <c r="B22" s="10"/>
      <c r="C22" s="10"/>
      <c r="D22" s="10"/>
      <c r="E22" s="10"/>
      <c r="F22" s="10"/>
      <c r="G22" s="10"/>
      <c r="H22" s="10"/>
      <c r="J22">
        <v>1</v>
      </c>
      <c r="K22">
        <v>4</v>
      </c>
      <c r="L22">
        <v>4</v>
      </c>
      <c r="M22">
        <v>4</v>
      </c>
      <c r="N22">
        <v>6</v>
      </c>
      <c r="O22">
        <v>6</v>
      </c>
      <c r="S22">
        <f t="shared" si="1"/>
        <v>3</v>
      </c>
      <c r="T22">
        <f t="shared" si="0"/>
        <v>0</v>
      </c>
    </row>
    <row r="23" spans="1:20" x14ac:dyDescent="0.3">
      <c r="J23">
        <v>2</v>
      </c>
      <c r="K23">
        <v>3</v>
      </c>
      <c r="L23">
        <v>3</v>
      </c>
      <c r="M23">
        <v>3</v>
      </c>
      <c r="N23">
        <v>5</v>
      </c>
      <c r="O23">
        <v>5</v>
      </c>
      <c r="S23">
        <f t="shared" si="1"/>
        <v>1</v>
      </c>
      <c r="T23">
        <f t="shared" si="0"/>
        <v>0</v>
      </c>
    </row>
    <row r="24" spans="1:20" ht="14.4" customHeight="1" x14ac:dyDescent="0.3">
      <c r="A24" s="10" t="s">
        <v>21</v>
      </c>
      <c r="B24" s="10"/>
      <c r="C24" s="10"/>
      <c r="D24" s="10"/>
      <c r="E24" s="10"/>
      <c r="F24" s="10"/>
      <c r="G24" s="10"/>
      <c r="H24" s="10"/>
      <c r="J24">
        <v>1</v>
      </c>
      <c r="K24">
        <v>3</v>
      </c>
      <c r="L24">
        <v>4</v>
      </c>
      <c r="M24">
        <v>4</v>
      </c>
      <c r="N24">
        <v>5</v>
      </c>
      <c r="O24">
        <v>6</v>
      </c>
      <c r="S24">
        <f t="shared" si="1"/>
        <v>2</v>
      </c>
      <c r="T24">
        <f t="shared" si="0"/>
        <v>1</v>
      </c>
    </row>
    <row r="25" spans="1:20" x14ac:dyDescent="0.3">
      <c r="A25" s="10"/>
      <c r="B25" s="10"/>
      <c r="C25" s="10"/>
      <c r="D25" s="10"/>
      <c r="E25" s="10"/>
      <c r="F25" s="10"/>
      <c r="G25" s="10"/>
      <c r="H25" s="10"/>
      <c r="J25">
        <v>1</v>
      </c>
      <c r="K25">
        <v>2</v>
      </c>
      <c r="L25">
        <v>4</v>
      </c>
      <c r="M25">
        <v>4</v>
      </c>
      <c r="N25">
        <v>6</v>
      </c>
      <c r="O25">
        <v>6</v>
      </c>
      <c r="S25">
        <f t="shared" si="1"/>
        <v>1</v>
      </c>
      <c r="T25">
        <f t="shared" si="0"/>
        <v>2</v>
      </c>
    </row>
    <row r="26" spans="1:20" x14ac:dyDescent="0.3">
      <c r="A26" s="10"/>
      <c r="B26" s="10"/>
      <c r="C26" s="10"/>
      <c r="D26" s="10"/>
      <c r="E26" s="10"/>
      <c r="F26" s="10"/>
      <c r="G26" s="10"/>
      <c r="H26" s="10"/>
      <c r="J26">
        <v>1</v>
      </c>
      <c r="K26">
        <v>1</v>
      </c>
      <c r="L26">
        <v>1</v>
      </c>
      <c r="M26">
        <v>2</v>
      </c>
      <c r="N26">
        <v>3</v>
      </c>
      <c r="O26">
        <v>4</v>
      </c>
      <c r="S26">
        <f t="shared" si="1"/>
        <v>0</v>
      </c>
      <c r="T26">
        <f t="shared" si="0"/>
        <v>0</v>
      </c>
    </row>
    <row r="27" spans="1:20" ht="14.4" customHeight="1" x14ac:dyDescent="0.3">
      <c r="J27">
        <v>1</v>
      </c>
      <c r="K27">
        <v>1</v>
      </c>
      <c r="L27">
        <v>2</v>
      </c>
      <c r="M27">
        <v>4</v>
      </c>
      <c r="N27">
        <v>4</v>
      </c>
      <c r="O27">
        <v>6</v>
      </c>
      <c r="S27">
        <f t="shared" si="1"/>
        <v>0</v>
      </c>
      <c r="T27">
        <f t="shared" si="0"/>
        <v>1</v>
      </c>
    </row>
    <row r="28" spans="1:20" ht="14.4" customHeight="1" x14ac:dyDescent="0.3">
      <c r="J28">
        <v>1</v>
      </c>
      <c r="K28">
        <v>1</v>
      </c>
      <c r="L28">
        <v>1</v>
      </c>
      <c r="M28">
        <v>2</v>
      </c>
      <c r="N28">
        <v>6</v>
      </c>
      <c r="O28">
        <v>6</v>
      </c>
      <c r="S28">
        <f t="shared" si="1"/>
        <v>0</v>
      </c>
      <c r="T28">
        <f t="shared" si="0"/>
        <v>0</v>
      </c>
    </row>
    <row r="29" spans="1:20" x14ac:dyDescent="0.3">
      <c r="J29">
        <v>1</v>
      </c>
      <c r="K29">
        <v>3</v>
      </c>
      <c r="L29">
        <v>3</v>
      </c>
      <c r="M29">
        <v>5</v>
      </c>
      <c r="N29">
        <v>5</v>
      </c>
      <c r="O29">
        <v>6</v>
      </c>
      <c r="S29">
        <f t="shared" si="1"/>
        <v>2</v>
      </c>
      <c r="T29">
        <f t="shared" si="0"/>
        <v>0</v>
      </c>
    </row>
    <row r="30" spans="1:20" ht="14.4" customHeight="1" x14ac:dyDescent="0.3">
      <c r="J30">
        <v>4</v>
      </c>
      <c r="K30">
        <v>5</v>
      </c>
      <c r="L30">
        <v>6</v>
      </c>
      <c r="M30">
        <v>6</v>
      </c>
      <c r="N30">
        <v>6</v>
      </c>
      <c r="O30">
        <v>6</v>
      </c>
      <c r="S30">
        <f t="shared" si="1"/>
        <v>1</v>
      </c>
      <c r="T30">
        <f t="shared" si="0"/>
        <v>1</v>
      </c>
    </row>
    <row r="31" spans="1:20" x14ac:dyDescent="0.3">
      <c r="J31">
        <v>2</v>
      </c>
      <c r="K31">
        <v>2</v>
      </c>
      <c r="L31">
        <v>4</v>
      </c>
      <c r="M31">
        <v>4</v>
      </c>
      <c r="N31">
        <v>6</v>
      </c>
      <c r="O31">
        <v>6</v>
      </c>
      <c r="S31">
        <f t="shared" si="1"/>
        <v>0</v>
      </c>
      <c r="T31">
        <f t="shared" si="0"/>
        <v>2</v>
      </c>
    </row>
    <row r="32" spans="1:20" x14ac:dyDescent="0.3">
      <c r="J32">
        <v>1</v>
      </c>
      <c r="K32">
        <v>3</v>
      </c>
      <c r="L32">
        <v>3</v>
      </c>
      <c r="M32">
        <v>5</v>
      </c>
      <c r="N32">
        <v>5</v>
      </c>
      <c r="O32">
        <v>6</v>
      </c>
      <c r="S32">
        <f t="shared" si="1"/>
        <v>2</v>
      </c>
      <c r="T32">
        <f t="shared" si="0"/>
        <v>0</v>
      </c>
    </row>
    <row r="33" spans="10:20" x14ac:dyDescent="0.3">
      <c r="J33">
        <v>1</v>
      </c>
      <c r="K33">
        <v>1</v>
      </c>
      <c r="L33">
        <v>4</v>
      </c>
      <c r="M33">
        <v>4</v>
      </c>
      <c r="N33">
        <v>6</v>
      </c>
      <c r="O33">
        <v>6</v>
      </c>
      <c r="S33">
        <f t="shared" si="1"/>
        <v>0</v>
      </c>
      <c r="T33">
        <f t="shared" si="0"/>
        <v>3</v>
      </c>
    </row>
    <row r="34" spans="10:20" x14ac:dyDescent="0.3">
      <c r="J34">
        <v>1</v>
      </c>
      <c r="K34">
        <v>2</v>
      </c>
      <c r="L34">
        <v>4</v>
      </c>
      <c r="M34">
        <v>4</v>
      </c>
      <c r="N34">
        <v>6</v>
      </c>
      <c r="O34">
        <v>6</v>
      </c>
      <c r="S34">
        <f t="shared" si="1"/>
        <v>1</v>
      </c>
      <c r="T34">
        <f t="shared" si="0"/>
        <v>2</v>
      </c>
    </row>
    <row r="35" spans="10:20" ht="14.4" customHeight="1" x14ac:dyDescent="0.3">
      <c r="J35">
        <v>1</v>
      </c>
      <c r="K35">
        <v>1</v>
      </c>
      <c r="L35">
        <v>1</v>
      </c>
      <c r="M35">
        <v>3</v>
      </c>
      <c r="N35">
        <v>4</v>
      </c>
      <c r="O35">
        <v>4</v>
      </c>
      <c r="S35">
        <f t="shared" si="1"/>
        <v>0</v>
      </c>
      <c r="T35">
        <f t="shared" si="0"/>
        <v>0</v>
      </c>
    </row>
    <row r="36" spans="10:20" x14ac:dyDescent="0.3">
      <c r="J36">
        <v>2</v>
      </c>
      <c r="K36">
        <v>2</v>
      </c>
      <c r="L36">
        <v>4</v>
      </c>
      <c r="M36">
        <v>4</v>
      </c>
      <c r="N36">
        <v>5</v>
      </c>
      <c r="O36">
        <v>6</v>
      </c>
      <c r="S36">
        <f t="shared" si="1"/>
        <v>0</v>
      </c>
      <c r="T36">
        <f t="shared" si="0"/>
        <v>2</v>
      </c>
    </row>
    <row r="37" spans="10:20" x14ac:dyDescent="0.3">
      <c r="J37">
        <v>1</v>
      </c>
      <c r="K37">
        <v>2</v>
      </c>
      <c r="L37">
        <v>2</v>
      </c>
      <c r="M37">
        <v>3</v>
      </c>
      <c r="N37">
        <v>4</v>
      </c>
      <c r="O37">
        <v>6</v>
      </c>
      <c r="S37">
        <f t="shared" si="1"/>
        <v>1</v>
      </c>
      <c r="T37">
        <f t="shared" si="0"/>
        <v>0</v>
      </c>
    </row>
    <row r="38" spans="10:20" x14ac:dyDescent="0.3">
      <c r="J38">
        <v>2</v>
      </c>
      <c r="K38">
        <v>3</v>
      </c>
      <c r="L38">
        <v>4</v>
      </c>
      <c r="M38">
        <v>4</v>
      </c>
      <c r="N38">
        <v>5</v>
      </c>
      <c r="O38">
        <v>6</v>
      </c>
      <c r="S38">
        <f t="shared" si="1"/>
        <v>1</v>
      </c>
      <c r="T38">
        <f t="shared" si="0"/>
        <v>1</v>
      </c>
    </row>
    <row r="39" spans="10:20" x14ac:dyDescent="0.3">
      <c r="J39">
        <v>2</v>
      </c>
      <c r="K39">
        <v>3</v>
      </c>
      <c r="L39">
        <v>3</v>
      </c>
      <c r="M39">
        <v>3</v>
      </c>
      <c r="N39">
        <v>4</v>
      </c>
      <c r="O39">
        <v>5</v>
      </c>
      <c r="S39">
        <f t="shared" si="1"/>
        <v>1</v>
      </c>
      <c r="T39">
        <f t="shared" si="0"/>
        <v>0</v>
      </c>
    </row>
    <row r="40" spans="10:20" x14ac:dyDescent="0.3">
      <c r="J40">
        <v>1</v>
      </c>
      <c r="K40">
        <v>2</v>
      </c>
      <c r="L40">
        <v>2</v>
      </c>
      <c r="M40">
        <v>4</v>
      </c>
      <c r="N40">
        <v>5</v>
      </c>
      <c r="O40">
        <v>6</v>
      </c>
      <c r="S40">
        <f t="shared" si="1"/>
        <v>1</v>
      </c>
      <c r="T40">
        <f t="shared" si="0"/>
        <v>0</v>
      </c>
    </row>
    <row r="41" spans="10:20" x14ac:dyDescent="0.3">
      <c r="J41">
        <v>1</v>
      </c>
      <c r="K41">
        <v>2</v>
      </c>
      <c r="L41">
        <v>2</v>
      </c>
      <c r="M41">
        <v>3</v>
      </c>
      <c r="N41">
        <v>4</v>
      </c>
      <c r="O41">
        <v>6</v>
      </c>
      <c r="S41">
        <f t="shared" si="1"/>
        <v>1</v>
      </c>
      <c r="T41">
        <f t="shared" si="0"/>
        <v>0</v>
      </c>
    </row>
    <row r="42" spans="10:20" x14ac:dyDescent="0.3">
      <c r="J42">
        <v>2</v>
      </c>
      <c r="K42">
        <v>2</v>
      </c>
      <c r="L42">
        <v>2</v>
      </c>
      <c r="M42">
        <v>3</v>
      </c>
      <c r="N42">
        <v>6</v>
      </c>
      <c r="O42">
        <v>6</v>
      </c>
      <c r="S42">
        <f t="shared" si="1"/>
        <v>0</v>
      </c>
      <c r="T42">
        <f t="shared" si="0"/>
        <v>0</v>
      </c>
    </row>
    <row r="43" spans="10:20" x14ac:dyDescent="0.3">
      <c r="J43">
        <v>2</v>
      </c>
      <c r="K43">
        <v>3</v>
      </c>
      <c r="L43">
        <v>3</v>
      </c>
      <c r="M43">
        <v>5</v>
      </c>
      <c r="N43">
        <v>5</v>
      </c>
      <c r="O43">
        <v>6</v>
      </c>
      <c r="S43">
        <f t="shared" si="1"/>
        <v>1</v>
      </c>
      <c r="T43">
        <f t="shared" si="0"/>
        <v>0</v>
      </c>
    </row>
    <row r="44" spans="10:20" x14ac:dyDescent="0.3">
      <c r="J44">
        <v>1</v>
      </c>
      <c r="K44">
        <v>1</v>
      </c>
      <c r="L44">
        <v>4</v>
      </c>
      <c r="M44">
        <v>4</v>
      </c>
      <c r="N44">
        <v>5</v>
      </c>
      <c r="O44">
        <v>5</v>
      </c>
      <c r="S44">
        <f t="shared" si="1"/>
        <v>0</v>
      </c>
      <c r="T44">
        <f t="shared" si="0"/>
        <v>3</v>
      </c>
    </row>
    <row r="45" spans="10:20" x14ac:dyDescent="0.3">
      <c r="J45">
        <v>2</v>
      </c>
      <c r="K45">
        <v>3</v>
      </c>
      <c r="L45">
        <v>3</v>
      </c>
      <c r="M45">
        <v>4</v>
      </c>
      <c r="N45">
        <v>5</v>
      </c>
      <c r="O45">
        <v>6</v>
      </c>
      <c r="S45">
        <f t="shared" si="1"/>
        <v>1</v>
      </c>
      <c r="T45">
        <f t="shared" si="0"/>
        <v>0</v>
      </c>
    </row>
    <row r="46" spans="10:20" x14ac:dyDescent="0.3">
      <c r="J46">
        <v>1</v>
      </c>
      <c r="K46">
        <v>1</v>
      </c>
      <c r="L46">
        <v>4</v>
      </c>
      <c r="M46">
        <v>4</v>
      </c>
      <c r="N46">
        <v>5</v>
      </c>
      <c r="O46">
        <v>6</v>
      </c>
      <c r="S46">
        <f t="shared" si="1"/>
        <v>0</v>
      </c>
      <c r="T46">
        <f t="shared" si="0"/>
        <v>3</v>
      </c>
    </row>
    <row r="47" spans="10:20" x14ac:dyDescent="0.3">
      <c r="J47">
        <v>1</v>
      </c>
      <c r="K47">
        <v>1</v>
      </c>
      <c r="L47">
        <v>2</v>
      </c>
      <c r="M47">
        <v>4</v>
      </c>
      <c r="N47">
        <v>5</v>
      </c>
      <c r="O47">
        <v>5</v>
      </c>
      <c r="S47">
        <f t="shared" si="1"/>
        <v>0</v>
      </c>
      <c r="T47">
        <f t="shared" si="0"/>
        <v>1</v>
      </c>
    </row>
    <row r="48" spans="10:20" x14ac:dyDescent="0.3">
      <c r="J48">
        <v>1</v>
      </c>
      <c r="K48">
        <v>5</v>
      </c>
      <c r="L48">
        <v>5</v>
      </c>
      <c r="M48">
        <v>5</v>
      </c>
      <c r="N48">
        <v>5</v>
      </c>
      <c r="O48">
        <v>6</v>
      </c>
      <c r="S48">
        <f t="shared" si="1"/>
        <v>4</v>
      </c>
      <c r="T48">
        <f t="shared" si="0"/>
        <v>0</v>
      </c>
    </row>
    <row r="49" spans="10:20" x14ac:dyDescent="0.3">
      <c r="J49">
        <v>2</v>
      </c>
      <c r="K49">
        <v>3</v>
      </c>
      <c r="L49">
        <v>3</v>
      </c>
      <c r="M49">
        <v>4</v>
      </c>
      <c r="N49">
        <v>5</v>
      </c>
      <c r="O49">
        <v>6</v>
      </c>
      <c r="S49">
        <f t="shared" si="1"/>
        <v>1</v>
      </c>
      <c r="T49">
        <f t="shared" si="0"/>
        <v>0</v>
      </c>
    </row>
    <row r="50" spans="10:20" x14ac:dyDescent="0.3">
      <c r="J50">
        <v>2</v>
      </c>
      <c r="K50">
        <v>2</v>
      </c>
      <c r="L50">
        <v>3</v>
      </c>
      <c r="M50">
        <v>5</v>
      </c>
      <c r="N50">
        <v>5</v>
      </c>
      <c r="O50">
        <v>6</v>
      </c>
      <c r="S50">
        <f t="shared" si="1"/>
        <v>0</v>
      </c>
      <c r="T50">
        <f t="shared" si="0"/>
        <v>1</v>
      </c>
    </row>
    <row r="51" spans="10:20" x14ac:dyDescent="0.3">
      <c r="J51">
        <v>3</v>
      </c>
      <c r="K51">
        <v>3</v>
      </c>
      <c r="L51">
        <v>3</v>
      </c>
      <c r="M51">
        <v>5</v>
      </c>
      <c r="N51">
        <v>6</v>
      </c>
      <c r="O51">
        <v>6</v>
      </c>
      <c r="S51">
        <f t="shared" si="1"/>
        <v>0</v>
      </c>
      <c r="T51">
        <f t="shared" si="0"/>
        <v>0</v>
      </c>
    </row>
    <row r="52" spans="10:20" x14ac:dyDescent="0.3">
      <c r="J52">
        <v>2</v>
      </c>
      <c r="K52">
        <v>3</v>
      </c>
      <c r="L52">
        <v>3</v>
      </c>
      <c r="M52">
        <v>3</v>
      </c>
      <c r="N52">
        <v>4</v>
      </c>
      <c r="O52">
        <v>5</v>
      </c>
      <c r="S52">
        <f t="shared" si="1"/>
        <v>1</v>
      </c>
      <c r="T52">
        <f t="shared" si="0"/>
        <v>0</v>
      </c>
    </row>
    <row r="53" spans="10:20" x14ac:dyDescent="0.3">
      <c r="J53">
        <v>1</v>
      </c>
      <c r="K53">
        <v>1</v>
      </c>
      <c r="L53">
        <v>2</v>
      </c>
      <c r="M53">
        <v>2</v>
      </c>
      <c r="N53">
        <v>5</v>
      </c>
      <c r="O53">
        <v>6</v>
      </c>
      <c r="S53">
        <f t="shared" si="1"/>
        <v>0</v>
      </c>
      <c r="T53">
        <f t="shared" si="0"/>
        <v>1</v>
      </c>
    </row>
    <row r="54" spans="10:20" x14ac:dyDescent="0.3">
      <c r="J54">
        <v>1</v>
      </c>
      <c r="K54">
        <v>1</v>
      </c>
      <c r="L54">
        <v>3</v>
      </c>
      <c r="M54">
        <v>3</v>
      </c>
      <c r="N54">
        <v>4</v>
      </c>
      <c r="O54">
        <v>6</v>
      </c>
      <c r="S54">
        <f t="shared" si="1"/>
        <v>0</v>
      </c>
      <c r="T54">
        <f t="shared" si="0"/>
        <v>2</v>
      </c>
    </row>
    <row r="55" spans="10:20" x14ac:dyDescent="0.3">
      <c r="J55">
        <v>3</v>
      </c>
      <c r="K55">
        <v>3</v>
      </c>
      <c r="L55">
        <v>3</v>
      </c>
      <c r="M55">
        <v>4</v>
      </c>
      <c r="N55">
        <v>5</v>
      </c>
      <c r="O55">
        <v>6</v>
      </c>
      <c r="S55">
        <f t="shared" si="1"/>
        <v>0</v>
      </c>
      <c r="T55">
        <f t="shared" si="0"/>
        <v>0</v>
      </c>
    </row>
    <row r="56" spans="10:20" x14ac:dyDescent="0.3">
      <c r="J56">
        <v>1</v>
      </c>
      <c r="K56">
        <v>1</v>
      </c>
      <c r="L56">
        <v>2</v>
      </c>
      <c r="M56">
        <v>4</v>
      </c>
      <c r="N56">
        <v>5</v>
      </c>
      <c r="O56">
        <v>5</v>
      </c>
      <c r="S56">
        <f t="shared" si="1"/>
        <v>0</v>
      </c>
      <c r="T56">
        <f t="shared" si="0"/>
        <v>1</v>
      </c>
    </row>
    <row r="57" spans="10:20" x14ac:dyDescent="0.3">
      <c r="J57">
        <v>1</v>
      </c>
      <c r="K57">
        <v>2</v>
      </c>
      <c r="L57">
        <v>2</v>
      </c>
      <c r="M57">
        <v>3</v>
      </c>
      <c r="N57">
        <v>3</v>
      </c>
      <c r="O57">
        <v>5</v>
      </c>
      <c r="S57">
        <f t="shared" si="1"/>
        <v>1</v>
      </c>
      <c r="T57">
        <f t="shared" si="0"/>
        <v>0</v>
      </c>
    </row>
    <row r="58" spans="10:20" x14ac:dyDescent="0.3">
      <c r="J58">
        <v>2</v>
      </c>
      <c r="K58">
        <v>3</v>
      </c>
      <c r="L58">
        <v>6</v>
      </c>
      <c r="M58">
        <v>6</v>
      </c>
      <c r="N58">
        <v>6</v>
      </c>
      <c r="O58">
        <v>6</v>
      </c>
      <c r="S58">
        <f t="shared" si="1"/>
        <v>1</v>
      </c>
      <c r="T58">
        <f t="shared" si="0"/>
        <v>3</v>
      </c>
    </row>
    <row r="59" spans="10:20" x14ac:dyDescent="0.3">
      <c r="J59">
        <v>1</v>
      </c>
      <c r="K59">
        <v>2</v>
      </c>
      <c r="L59">
        <v>3</v>
      </c>
      <c r="M59">
        <v>4</v>
      </c>
      <c r="N59">
        <v>5</v>
      </c>
      <c r="O59">
        <v>6</v>
      </c>
      <c r="S59">
        <f t="shared" si="1"/>
        <v>1</v>
      </c>
      <c r="T59">
        <f t="shared" si="0"/>
        <v>1</v>
      </c>
    </row>
    <row r="60" spans="10:20" x14ac:dyDescent="0.3">
      <c r="J60">
        <v>2</v>
      </c>
      <c r="K60">
        <v>3</v>
      </c>
      <c r="L60">
        <v>3</v>
      </c>
      <c r="M60">
        <v>4</v>
      </c>
      <c r="N60">
        <v>4</v>
      </c>
      <c r="O60">
        <v>6</v>
      </c>
      <c r="S60">
        <f t="shared" si="1"/>
        <v>1</v>
      </c>
      <c r="T60">
        <f t="shared" si="0"/>
        <v>0</v>
      </c>
    </row>
    <row r="61" spans="10:20" x14ac:dyDescent="0.3">
      <c r="J61">
        <v>4</v>
      </c>
      <c r="K61">
        <v>4</v>
      </c>
      <c r="L61">
        <v>5</v>
      </c>
      <c r="M61">
        <v>5</v>
      </c>
      <c r="N61">
        <v>6</v>
      </c>
      <c r="O61">
        <v>6</v>
      </c>
      <c r="S61">
        <f t="shared" si="1"/>
        <v>0</v>
      </c>
      <c r="T61">
        <f t="shared" si="0"/>
        <v>1</v>
      </c>
    </row>
    <row r="62" spans="10:20" x14ac:dyDescent="0.3">
      <c r="J62">
        <v>2</v>
      </c>
      <c r="K62">
        <v>3</v>
      </c>
      <c r="L62">
        <v>3</v>
      </c>
      <c r="M62">
        <v>4</v>
      </c>
      <c r="N62">
        <v>4</v>
      </c>
      <c r="O62">
        <v>5</v>
      </c>
      <c r="S62">
        <f t="shared" si="1"/>
        <v>1</v>
      </c>
      <c r="T62">
        <f t="shared" si="0"/>
        <v>0</v>
      </c>
    </row>
    <row r="63" spans="10:20" x14ac:dyDescent="0.3">
      <c r="J63">
        <v>1</v>
      </c>
      <c r="K63">
        <v>3</v>
      </c>
      <c r="L63">
        <v>4</v>
      </c>
      <c r="M63">
        <v>4</v>
      </c>
      <c r="N63">
        <v>4</v>
      </c>
      <c r="O63">
        <v>5</v>
      </c>
      <c r="S63">
        <f t="shared" si="1"/>
        <v>2</v>
      </c>
      <c r="T63">
        <f t="shared" si="0"/>
        <v>1</v>
      </c>
    </row>
    <row r="64" spans="10:20" x14ac:dyDescent="0.3">
      <c r="J64">
        <v>1</v>
      </c>
      <c r="K64">
        <v>1</v>
      </c>
      <c r="L64">
        <v>1</v>
      </c>
      <c r="M64">
        <v>3</v>
      </c>
      <c r="N64">
        <v>4</v>
      </c>
      <c r="O64">
        <v>6</v>
      </c>
      <c r="S64">
        <f t="shared" si="1"/>
        <v>0</v>
      </c>
      <c r="T64">
        <f t="shared" si="0"/>
        <v>0</v>
      </c>
    </row>
    <row r="65" spans="10:20" x14ac:dyDescent="0.3">
      <c r="J65">
        <v>1</v>
      </c>
      <c r="K65">
        <v>2</v>
      </c>
      <c r="L65">
        <v>3</v>
      </c>
      <c r="M65">
        <v>5</v>
      </c>
      <c r="N65">
        <v>5</v>
      </c>
      <c r="O65">
        <v>6</v>
      </c>
      <c r="S65">
        <f t="shared" si="1"/>
        <v>1</v>
      </c>
      <c r="T65">
        <f t="shared" ref="T65:T120" si="2">L65-K65</f>
        <v>1</v>
      </c>
    </row>
    <row r="66" spans="10:20" x14ac:dyDescent="0.3">
      <c r="J66">
        <v>1</v>
      </c>
      <c r="K66">
        <v>2</v>
      </c>
      <c r="L66">
        <v>3</v>
      </c>
      <c r="M66">
        <v>3</v>
      </c>
      <c r="N66">
        <v>5</v>
      </c>
      <c r="O66">
        <v>6</v>
      </c>
      <c r="S66">
        <f t="shared" ref="S66:S120" si="3">K66-J66</f>
        <v>1</v>
      </c>
      <c r="T66">
        <f t="shared" si="2"/>
        <v>1</v>
      </c>
    </row>
    <row r="67" spans="10:20" x14ac:dyDescent="0.3">
      <c r="J67">
        <v>1</v>
      </c>
      <c r="K67">
        <v>2</v>
      </c>
      <c r="L67">
        <v>2</v>
      </c>
      <c r="M67">
        <v>2</v>
      </c>
      <c r="N67">
        <v>3</v>
      </c>
      <c r="O67">
        <v>4</v>
      </c>
      <c r="S67">
        <f t="shared" si="3"/>
        <v>1</v>
      </c>
      <c r="T67">
        <f t="shared" si="2"/>
        <v>0</v>
      </c>
    </row>
    <row r="68" spans="10:20" x14ac:dyDescent="0.3">
      <c r="J68">
        <v>1</v>
      </c>
      <c r="K68">
        <v>2</v>
      </c>
      <c r="L68">
        <v>3</v>
      </c>
      <c r="M68">
        <v>4</v>
      </c>
      <c r="N68">
        <v>4</v>
      </c>
      <c r="O68">
        <v>6</v>
      </c>
      <c r="S68">
        <f t="shared" si="3"/>
        <v>1</v>
      </c>
      <c r="T68">
        <f t="shared" si="2"/>
        <v>1</v>
      </c>
    </row>
    <row r="69" spans="10:20" x14ac:dyDescent="0.3">
      <c r="J69">
        <v>2</v>
      </c>
      <c r="K69">
        <v>2</v>
      </c>
      <c r="L69">
        <v>3</v>
      </c>
      <c r="M69">
        <v>3</v>
      </c>
      <c r="N69">
        <v>3</v>
      </c>
      <c r="O69">
        <v>5</v>
      </c>
      <c r="S69">
        <f t="shared" si="3"/>
        <v>0</v>
      </c>
      <c r="T69">
        <f t="shared" si="2"/>
        <v>1</v>
      </c>
    </row>
    <row r="70" spans="10:20" x14ac:dyDescent="0.3">
      <c r="J70">
        <v>2</v>
      </c>
      <c r="K70">
        <v>2</v>
      </c>
      <c r="L70">
        <v>3</v>
      </c>
      <c r="M70">
        <v>5</v>
      </c>
      <c r="N70">
        <v>6</v>
      </c>
      <c r="O70">
        <v>6</v>
      </c>
      <c r="S70">
        <f t="shared" si="3"/>
        <v>0</v>
      </c>
      <c r="T70">
        <f t="shared" si="2"/>
        <v>1</v>
      </c>
    </row>
    <row r="71" spans="10:20" x14ac:dyDescent="0.3">
      <c r="J71">
        <v>1</v>
      </c>
      <c r="K71">
        <v>3</v>
      </c>
      <c r="L71">
        <v>4</v>
      </c>
      <c r="M71">
        <v>4</v>
      </c>
      <c r="N71">
        <v>4</v>
      </c>
      <c r="O71">
        <v>5</v>
      </c>
      <c r="S71">
        <f t="shared" si="3"/>
        <v>2</v>
      </c>
      <c r="T71">
        <f t="shared" si="2"/>
        <v>1</v>
      </c>
    </row>
    <row r="72" spans="10:20" x14ac:dyDescent="0.3">
      <c r="J72">
        <v>1</v>
      </c>
      <c r="K72">
        <v>2</v>
      </c>
      <c r="L72">
        <v>3</v>
      </c>
      <c r="M72">
        <v>5</v>
      </c>
      <c r="N72">
        <v>5</v>
      </c>
      <c r="O72">
        <v>6</v>
      </c>
      <c r="S72">
        <f t="shared" si="3"/>
        <v>1</v>
      </c>
      <c r="T72">
        <f t="shared" si="2"/>
        <v>1</v>
      </c>
    </row>
    <row r="73" spans="10:20" x14ac:dyDescent="0.3">
      <c r="J73">
        <v>1</v>
      </c>
      <c r="K73">
        <v>1</v>
      </c>
      <c r="L73">
        <v>1</v>
      </c>
      <c r="M73">
        <v>1</v>
      </c>
      <c r="N73">
        <v>3</v>
      </c>
      <c r="O73">
        <v>3</v>
      </c>
      <c r="S73">
        <f t="shared" si="3"/>
        <v>0</v>
      </c>
      <c r="T73">
        <f t="shared" si="2"/>
        <v>0</v>
      </c>
    </row>
    <row r="74" spans="10:20" x14ac:dyDescent="0.3">
      <c r="J74">
        <v>1</v>
      </c>
      <c r="K74">
        <v>1</v>
      </c>
      <c r="L74">
        <v>2</v>
      </c>
      <c r="M74">
        <v>4</v>
      </c>
      <c r="N74">
        <v>4</v>
      </c>
      <c r="O74">
        <v>6</v>
      </c>
      <c r="S74">
        <f t="shared" si="3"/>
        <v>0</v>
      </c>
      <c r="T74">
        <f t="shared" si="2"/>
        <v>1</v>
      </c>
    </row>
    <row r="75" spans="10:20" x14ac:dyDescent="0.3">
      <c r="J75">
        <v>1</v>
      </c>
      <c r="K75">
        <v>2</v>
      </c>
      <c r="L75">
        <v>2</v>
      </c>
      <c r="M75">
        <v>3</v>
      </c>
      <c r="N75">
        <v>6</v>
      </c>
      <c r="O75">
        <v>6</v>
      </c>
      <c r="S75">
        <f t="shared" si="3"/>
        <v>1</v>
      </c>
      <c r="T75">
        <f t="shared" si="2"/>
        <v>0</v>
      </c>
    </row>
    <row r="76" spans="10:20" x14ac:dyDescent="0.3">
      <c r="J76">
        <v>1</v>
      </c>
      <c r="K76">
        <v>1</v>
      </c>
      <c r="L76">
        <v>2</v>
      </c>
      <c r="M76">
        <v>5</v>
      </c>
      <c r="N76">
        <v>6</v>
      </c>
      <c r="O76">
        <v>6</v>
      </c>
      <c r="S76">
        <f t="shared" si="3"/>
        <v>0</v>
      </c>
      <c r="T76">
        <f t="shared" si="2"/>
        <v>1</v>
      </c>
    </row>
    <row r="77" spans="10:20" x14ac:dyDescent="0.3">
      <c r="J77">
        <v>1</v>
      </c>
      <c r="K77">
        <v>4</v>
      </c>
      <c r="L77">
        <v>4</v>
      </c>
      <c r="M77">
        <v>5</v>
      </c>
      <c r="N77">
        <v>6</v>
      </c>
      <c r="O77">
        <v>6</v>
      </c>
      <c r="S77">
        <f t="shared" si="3"/>
        <v>3</v>
      </c>
      <c r="T77">
        <f t="shared" si="2"/>
        <v>0</v>
      </c>
    </row>
    <row r="78" spans="10:20" x14ac:dyDescent="0.3">
      <c r="J78">
        <v>2</v>
      </c>
      <c r="K78">
        <v>4</v>
      </c>
      <c r="L78">
        <v>4</v>
      </c>
      <c r="M78">
        <v>5</v>
      </c>
      <c r="N78">
        <v>5</v>
      </c>
      <c r="O78">
        <v>6</v>
      </c>
      <c r="S78">
        <f t="shared" si="3"/>
        <v>2</v>
      </c>
      <c r="T78">
        <f t="shared" si="2"/>
        <v>0</v>
      </c>
    </row>
    <row r="79" spans="10:20" x14ac:dyDescent="0.3">
      <c r="J79">
        <v>1</v>
      </c>
      <c r="K79">
        <v>4</v>
      </c>
      <c r="L79">
        <v>5</v>
      </c>
      <c r="M79">
        <v>5</v>
      </c>
      <c r="N79">
        <v>5</v>
      </c>
      <c r="O79">
        <v>6</v>
      </c>
      <c r="S79">
        <f t="shared" si="3"/>
        <v>3</v>
      </c>
      <c r="T79">
        <f t="shared" si="2"/>
        <v>1</v>
      </c>
    </row>
    <row r="80" spans="10:20" x14ac:dyDescent="0.3">
      <c r="J80">
        <v>1</v>
      </c>
      <c r="K80">
        <v>3</v>
      </c>
      <c r="L80">
        <v>3</v>
      </c>
      <c r="M80">
        <v>5</v>
      </c>
      <c r="N80">
        <v>5</v>
      </c>
      <c r="O80">
        <v>5</v>
      </c>
      <c r="S80">
        <f t="shared" si="3"/>
        <v>2</v>
      </c>
      <c r="T80">
        <f t="shared" si="2"/>
        <v>0</v>
      </c>
    </row>
    <row r="81" spans="10:20" x14ac:dyDescent="0.3">
      <c r="J81">
        <v>1</v>
      </c>
      <c r="K81">
        <v>1</v>
      </c>
      <c r="L81">
        <v>3</v>
      </c>
      <c r="M81">
        <v>6</v>
      </c>
      <c r="N81">
        <v>6</v>
      </c>
      <c r="O81">
        <v>6</v>
      </c>
      <c r="S81">
        <f t="shared" si="3"/>
        <v>0</v>
      </c>
      <c r="T81">
        <f t="shared" si="2"/>
        <v>2</v>
      </c>
    </row>
    <row r="82" spans="10:20" x14ac:dyDescent="0.3">
      <c r="J82">
        <v>1</v>
      </c>
      <c r="K82">
        <v>4</v>
      </c>
      <c r="L82">
        <v>4</v>
      </c>
      <c r="M82">
        <v>4</v>
      </c>
      <c r="N82">
        <v>5</v>
      </c>
      <c r="O82">
        <v>5</v>
      </c>
      <c r="S82">
        <f t="shared" si="3"/>
        <v>3</v>
      </c>
      <c r="T82">
        <f t="shared" si="2"/>
        <v>0</v>
      </c>
    </row>
    <row r="83" spans="10:20" x14ac:dyDescent="0.3">
      <c r="J83">
        <v>1</v>
      </c>
      <c r="K83">
        <v>2</v>
      </c>
      <c r="L83">
        <v>3</v>
      </c>
      <c r="M83">
        <v>6</v>
      </c>
      <c r="N83">
        <v>6</v>
      </c>
      <c r="O83">
        <v>6</v>
      </c>
      <c r="S83">
        <f t="shared" si="3"/>
        <v>1</v>
      </c>
      <c r="T83">
        <f t="shared" si="2"/>
        <v>1</v>
      </c>
    </row>
    <row r="84" spans="10:20" x14ac:dyDescent="0.3">
      <c r="J84">
        <v>1</v>
      </c>
      <c r="K84">
        <v>1</v>
      </c>
      <c r="L84">
        <v>5</v>
      </c>
      <c r="M84">
        <v>5</v>
      </c>
      <c r="N84">
        <v>6</v>
      </c>
      <c r="O84">
        <v>6</v>
      </c>
      <c r="S84">
        <f t="shared" si="3"/>
        <v>0</v>
      </c>
      <c r="T84">
        <f t="shared" si="2"/>
        <v>4</v>
      </c>
    </row>
    <row r="85" spans="10:20" x14ac:dyDescent="0.3">
      <c r="J85">
        <v>3</v>
      </c>
      <c r="K85">
        <v>3</v>
      </c>
      <c r="L85">
        <v>4</v>
      </c>
      <c r="M85">
        <v>4</v>
      </c>
      <c r="N85">
        <v>5</v>
      </c>
      <c r="O85">
        <v>6</v>
      </c>
      <c r="S85">
        <f t="shared" si="3"/>
        <v>0</v>
      </c>
      <c r="T85">
        <f t="shared" si="2"/>
        <v>1</v>
      </c>
    </row>
    <row r="86" spans="10:20" x14ac:dyDescent="0.3">
      <c r="J86">
        <v>2</v>
      </c>
      <c r="K86">
        <v>2</v>
      </c>
      <c r="L86">
        <v>4</v>
      </c>
      <c r="M86">
        <v>4</v>
      </c>
      <c r="N86">
        <v>4</v>
      </c>
      <c r="O86">
        <v>6</v>
      </c>
      <c r="S86">
        <f t="shared" si="3"/>
        <v>0</v>
      </c>
      <c r="T86">
        <f t="shared" si="2"/>
        <v>2</v>
      </c>
    </row>
    <row r="87" spans="10:20" x14ac:dyDescent="0.3">
      <c r="J87">
        <v>2</v>
      </c>
      <c r="K87">
        <v>3</v>
      </c>
      <c r="L87">
        <v>3</v>
      </c>
      <c r="M87">
        <v>4</v>
      </c>
      <c r="N87">
        <v>6</v>
      </c>
      <c r="O87">
        <v>6</v>
      </c>
      <c r="S87">
        <f t="shared" si="3"/>
        <v>1</v>
      </c>
      <c r="T87">
        <f t="shared" si="2"/>
        <v>0</v>
      </c>
    </row>
    <row r="88" spans="10:20" x14ac:dyDescent="0.3">
      <c r="J88">
        <v>1</v>
      </c>
      <c r="K88">
        <v>3</v>
      </c>
      <c r="L88">
        <v>3</v>
      </c>
      <c r="M88">
        <v>4</v>
      </c>
      <c r="N88">
        <v>4</v>
      </c>
      <c r="O88">
        <v>6</v>
      </c>
      <c r="S88">
        <f t="shared" si="3"/>
        <v>2</v>
      </c>
      <c r="T88">
        <f t="shared" si="2"/>
        <v>0</v>
      </c>
    </row>
    <row r="89" spans="10:20" x14ac:dyDescent="0.3">
      <c r="J89">
        <v>1</v>
      </c>
      <c r="K89">
        <v>4</v>
      </c>
      <c r="L89">
        <v>4</v>
      </c>
      <c r="M89">
        <v>5</v>
      </c>
      <c r="N89">
        <v>6</v>
      </c>
      <c r="O89">
        <v>6</v>
      </c>
      <c r="S89">
        <f t="shared" si="3"/>
        <v>3</v>
      </c>
      <c r="T89">
        <f t="shared" si="2"/>
        <v>0</v>
      </c>
    </row>
    <row r="90" spans="10:20" x14ac:dyDescent="0.3">
      <c r="J90">
        <v>2</v>
      </c>
      <c r="K90">
        <v>3</v>
      </c>
      <c r="L90">
        <v>4</v>
      </c>
      <c r="M90">
        <v>4</v>
      </c>
      <c r="N90">
        <v>5</v>
      </c>
      <c r="O90">
        <v>5</v>
      </c>
      <c r="S90">
        <f t="shared" si="3"/>
        <v>1</v>
      </c>
      <c r="T90">
        <f t="shared" si="2"/>
        <v>1</v>
      </c>
    </row>
    <row r="91" spans="10:20" x14ac:dyDescent="0.3">
      <c r="J91">
        <v>1</v>
      </c>
      <c r="K91">
        <v>3</v>
      </c>
      <c r="L91">
        <v>3</v>
      </c>
      <c r="M91">
        <v>5</v>
      </c>
      <c r="N91">
        <v>5</v>
      </c>
      <c r="O91">
        <v>6</v>
      </c>
      <c r="S91">
        <f t="shared" si="3"/>
        <v>2</v>
      </c>
      <c r="T91">
        <f t="shared" si="2"/>
        <v>0</v>
      </c>
    </row>
    <row r="92" spans="10:20" x14ac:dyDescent="0.3">
      <c r="J92">
        <v>2</v>
      </c>
      <c r="K92">
        <v>3</v>
      </c>
      <c r="L92">
        <v>4</v>
      </c>
      <c r="M92">
        <v>4</v>
      </c>
      <c r="N92">
        <v>5</v>
      </c>
      <c r="O92">
        <v>5</v>
      </c>
      <c r="S92">
        <f t="shared" si="3"/>
        <v>1</v>
      </c>
      <c r="T92">
        <f t="shared" si="2"/>
        <v>1</v>
      </c>
    </row>
    <row r="93" spans="10:20" x14ac:dyDescent="0.3">
      <c r="J93">
        <v>1</v>
      </c>
      <c r="K93">
        <v>3</v>
      </c>
      <c r="L93">
        <v>4</v>
      </c>
      <c r="M93">
        <v>4</v>
      </c>
      <c r="N93">
        <v>5</v>
      </c>
      <c r="O93">
        <v>6</v>
      </c>
      <c r="S93">
        <f t="shared" si="3"/>
        <v>2</v>
      </c>
      <c r="T93">
        <f t="shared" si="2"/>
        <v>1</v>
      </c>
    </row>
    <row r="94" spans="10:20" x14ac:dyDescent="0.3">
      <c r="J94">
        <v>1</v>
      </c>
      <c r="K94">
        <v>3</v>
      </c>
      <c r="L94">
        <v>6</v>
      </c>
      <c r="M94">
        <v>6</v>
      </c>
      <c r="N94">
        <v>6</v>
      </c>
      <c r="O94">
        <v>6</v>
      </c>
      <c r="S94">
        <f t="shared" si="3"/>
        <v>2</v>
      </c>
      <c r="T94">
        <f t="shared" si="2"/>
        <v>3</v>
      </c>
    </row>
    <row r="95" spans="10:20" x14ac:dyDescent="0.3">
      <c r="J95">
        <v>1</v>
      </c>
      <c r="K95">
        <v>1</v>
      </c>
      <c r="L95">
        <v>2</v>
      </c>
      <c r="M95">
        <v>3</v>
      </c>
      <c r="N95">
        <v>5</v>
      </c>
      <c r="O95">
        <v>5</v>
      </c>
      <c r="S95">
        <f t="shared" si="3"/>
        <v>0</v>
      </c>
      <c r="T95">
        <f t="shared" si="2"/>
        <v>1</v>
      </c>
    </row>
    <row r="96" spans="10:20" x14ac:dyDescent="0.3">
      <c r="J96">
        <v>4</v>
      </c>
      <c r="K96">
        <v>4</v>
      </c>
      <c r="L96">
        <v>4</v>
      </c>
      <c r="M96">
        <v>5</v>
      </c>
      <c r="N96">
        <v>6</v>
      </c>
      <c r="O96">
        <v>6</v>
      </c>
      <c r="S96">
        <f t="shared" si="3"/>
        <v>0</v>
      </c>
      <c r="T96">
        <f t="shared" si="2"/>
        <v>0</v>
      </c>
    </row>
    <row r="97" spans="10:20" x14ac:dyDescent="0.3">
      <c r="J97">
        <v>1</v>
      </c>
      <c r="K97">
        <v>2</v>
      </c>
      <c r="L97">
        <v>3</v>
      </c>
      <c r="M97">
        <v>4</v>
      </c>
      <c r="N97">
        <v>5</v>
      </c>
      <c r="O97">
        <v>6</v>
      </c>
      <c r="S97">
        <f t="shared" si="3"/>
        <v>1</v>
      </c>
      <c r="T97">
        <f t="shared" si="2"/>
        <v>1</v>
      </c>
    </row>
    <row r="98" spans="10:20" x14ac:dyDescent="0.3">
      <c r="J98">
        <v>2</v>
      </c>
      <c r="K98">
        <v>3</v>
      </c>
      <c r="L98">
        <v>4</v>
      </c>
      <c r="M98">
        <v>4</v>
      </c>
      <c r="N98">
        <v>4</v>
      </c>
      <c r="O98">
        <v>5</v>
      </c>
      <c r="S98">
        <f t="shared" si="3"/>
        <v>1</v>
      </c>
      <c r="T98">
        <f t="shared" si="2"/>
        <v>1</v>
      </c>
    </row>
    <row r="99" spans="10:20" x14ac:dyDescent="0.3">
      <c r="J99">
        <v>1</v>
      </c>
      <c r="K99">
        <v>2</v>
      </c>
      <c r="L99">
        <v>3</v>
      </c>
      <c r="M99">
        <v>3</v>
      </c>
      <c r="N99">
        <v>5</v>
      </c>
      <c r="O99">
        <v>6</v>
      </c>
      <c r="S99">
        <f t="shared" si="3"/>
        <v>1</v>
      </c>
      <c r="T99">
        <f t="shared" si="2"/>
        <v>1</v>
      </c>
    </row>
    <row r="100" spans="10:20" x14ac:dyDescent="0.3">
      <c r="J100">
        <v>1</v>
      </c>
      <c r="K100">
        <v>3</v>
      </c>
      <c r="L100">
        <v>3</v>
      </c>
      <c r="M100">
        <v>4</v>
      </c>
      <c r="N100">
        <v>5</v>
      </c>
      <c r="O100">
        <v>6</v>
      </c>
      <c r="S100">
        <f t="shared" si="3"/>
        <v>2</v>
      </c>
      <c r="T100">
        <f t="shared" si="2"/>
        <v>0</v>
      </c>
    </row>
    <row r="101" spans="10:20" x14ac:dyDescent="0.3">
      <c r="J101">
        <v>1</v>
      </c>
      <c r="K101">
        <v>2</v>
      </c>
      <c r="L101">
        <v>3</v>
      </c>
      <c r="M101">
        <v>4</v>
      </c>
      <c r="N101">
        <v>6</v>
      </c>
      <c r="O101">
        <v>6</v>
      </c>
      <c r="S101">
        <f t="shared" si="3"/>
        <v>1</v>
      </c>
      <c r="T101">
        <f t="shared" si="2"/>
        <v>1</v>
      </c>
    </row>
    <row r="102" spans="10:20" x14ac:dyDescent="0.3">
      <c r="J102">
        <v>1</v>
      </c>
      <c r="K102">
        <v>2</v>
      </c>
      <c r="L102">
        <v>3</v>
      </c>
      <c r="M102">
        <v>6</v>
      </c>
      <c r="N102">
        <v>6</v>
      </c>
      <c r="O102">
        <v>6</v>
      </c>
      <c r="S102">
        <f t="shared" si="3"/>
        <v>1</v>
      </c>
      <c r="T102">
        <f t="shared" si="2"/>
        <v>1</v>
      </c>
    </row>
    <row r="103" spans="10:20" x14ac:dyDescent="0.3">
      <c r="J103">
        <v>1</v>
      </c>
      <c r="K103">
        <v>1</v>
      </c>
      <c r="L103">
        <v>2</v>
      </c>
      <c r="M103">
        <v>2</v>
      </c>
      <c r="N103">
        <v>2</v>
      </c>
      <c r="O103">
        <v>5</v>
      </c>
      <c r="S103">
        <f t="shared" si="3"/>
        <v>0</v>
      </c>
      <c r="T103">
        <f t="shared" si="2"/>
        <v>1</v>
      </c>
    </row>
    <row r="104" spans="10:20" x14ac:dyDescent="0.3">
      <c r="J104">
        <v>2</v>
      </c>
      <c r="K104">
        <v>2</v>
      </c>
      <c r="L104">
        <v>4</v>
      </c>
      <c r="M104">
        <v>5</v>
      </c>
      <c r="N104">
        <v>5</v>
      </c>
      <c r="O104">
        <v>6</v>
      </c>
      <c r="S104">
        <f t="shared" si="3"/>
        <v>0</v>
      </c>
      <c r="T104">
        <f t="shared" si="2"/>
        <v>2</v>
      </c>
    </row>
    <row r="105" spans="10:20" x14ac:dyDescent="0.3">
      <c r="J105">
        <v>1</v>
      </c>
      <c r="K105">
        <v>1</v>
      </c>
      <c r="L105">
        <v>1</v>
      </c>
      <c r="M105">
        <v>2</v>
      </c>
      <c r="N105">
        <v>3</v>
      </c>
      <c r="O105">
        <v>4</v>
      </c>
      <c r="S105">
        <f t="shared" si="3"/>
        <v>0</v>
      </c>
      <c r="T105">
        <f t="shared" si="2"/>
        <v>0</v>
      </c>
    </row>
    <row r="106" spans="10:20" x14ac:dyDescent="0.3">
      <c r="J106">
        <v>1</v>
      </c>
      <c r="K106">
        <v>1</v>
      </c>
      <c r="L106">
        <v>3</v>
      </c>
      <c r="M106">
        <v>3</v>
      </c>
      <c r="N106">
        <v>5</v>
      </c>
      <c r="O106">
        <v>6</v>
      </c>
      <c r="S106">
        <f t="shared" si="3"/>
        <v>0</v>
      </c>
      <c r="T106">
        <f t="shared" si="2"/>
        <v>2</v>
      </c>
    </row>
    <row r="107" spans="10:20" x14ac:dyDescent="0.3">
      <c r="J107">
        <v>1</v>
      </c>
      <c r="K107">
        <v>1</v>
      </c>
      <c r="L107">
        <v>2</v>
      </c>
      <c r="M107">
        <v>3</v>
      </c>
      <c r="N107">
        <v>4</v>
      </c>
      <c r="O107">
        <v>5</v>
      </c>
      <c r="S107">
        <f t="shared" si="3"/>
        <v>0</v>
      </c>
      <c r="T107">
        <f t="shared" si="2"/>
        <v>1</v>
      </c>
    </row>
    <row r="108" spans="10:20" x14ac:dyDescent="0.3">
      <c r="J108">
        <v>2</v>
      </c>
      <c r="K108">
        <v>2</v>
      </c>
      <c r="L108">
        <v>4</v>
      </c>
      <c r="M108">
        <v>5</v>
      </c>
      <c r="N108">
        <v>5</v>
      </c>
      <c r="O108">
        <v>5</v>
      </c>
      <c r="S108">
        <f t="shared" si="3"/>
        <v>0</v>
      </c>
      <c r="T108">
        <f t="shared" si="2"/>
        <v>2</v>
      </c>
    </row>
    <row r="109" spans="10:20" x14ac:dyDescent="0.3">
      <c r="J109">
        <v>1</v>
      </c>
      <c r="K109">
        <v>1</v>
      </c>
      <c r="L109">
        <v>4</v>
      </c>
      <c r="M109">
        <v>6</v>
      </c>
      <c r="N109">
        <v>6</v>
      </c>
      <c r="O109">
        <v>6</v>
      </c>
      <c r="S109">
        <f t="shared" si="3"/>
        <v>0</v>
      </c>
      <c r="T109">
        <f t="shared" si="2"/>
        <v>3</v>
      </c>
    </row>
    <row r="110" spans="10:20" x14ac:dyDescent="0.3">
      <c r="J110">
        <v>1</v>
      </c>
      <c r="K110">
        <v>2</v>
      </c>
      <c r="L110">
        <v>2</v>
      </c>
      <c r="M110">
        <v>3</v>
      </c>
      <c r="N110">
        <v>5</v>
      </c>
      <c r="O110">
        <v>6</v>
      </c>
      <c r="S110">
        <f t="shared" si="3"/>
        <v>1</v>
      </c>
      <c r="T110">
        <f t="shared" si="2"/>
        <v>0</v>
      </c>
    </row>
    <row r="111" spans="10:20" x14ac:dyDescent="0.3">
      <c r="J111">
        <v>1</v>
      </c>
      <c r="K111">
        <v>2</v>
      </c>
      <c r="L111">
        <v>3</v>
      </c>
      <c r="M111">
        <v>4</v>
      </c>
      <c r="N111">
        <v>5</v>
      </c>
      <c r="O111">
        <v>6</v>
      </c>
      <c r="S111">
        <f t="shared" si="3"/>
        <v>1</v>
      </c>
      <c r="T111">
        <f t="shared" si="2"/>
        <v>1</v>
      </c>
    </row>
    <row r="112" spans="10:20" x14ac:dyDescent="0.3">
      <c r="J112">
        <v>1</v>
      </c>
      <c r="K112">
        <v>1</v>
      </c>
      <c r="L112">
        <v>2</v>
      </c>
      <c r="M112">
        <v>4</v>
      </c>
      <c r="N112">
        <v>5</v>
      </c>
      <c r="O112">
        <v>5</v>
      </c>
      <c r="S112">
        <f t="shared" si="3"/>
        <v>0</v>
      </c>
      <c r="T112">
        <f t="shared" si="2"/>
        <v>1</v>
      </c>
    </row>
    <row r="113" spans="10:20" x14ac:dyDescent="0.3">
      <c r="J113">
        <v>1</v>
      </c>
      <c r="K113">
        <v>2</v>
      </c>
      <c r="L113">
        <v>3</v>
      </c>
      <c r="M113">
        <v>4</v>
      </c>
      <c r="N113">
        <v>5</v>
      </c>
      <c r="O113">
        <v>6</v>
      </c>
      <c r="S113">
        <f t="shared" si="3"/>
        <v>1</v>
      </c>
      <c r="T113">
        <f t="shared" si="2"/>
        <v>1</v>
      </c>
    </row>
    <row r="114" spans="10:20" x14ac:dyDescent="0.3">
      <c r="J114">
        <v>1</v>
      </c>
      <c r="K114">
        <v>2</v>
      </c>
      <c r="L114">
        <v>4</v>
      </c>
      <c r="M114">
        <v>4</v>
      </c>
      <c r="N114">
        <v>5</v>
      </c>
      <c r="O114">
        <v>6</v>
      </c>
      <c r="S114">
        <f t="shared" si="3"/>
        <v>1</v>
      </c>
      <c r="T114">
        <f t="shared" si="2"/>
        <v>2</v>
      </c>
    </row>
    <row r="115" spans="10:20" x14ac:dyDescent="0.3">
      <c r="J115">
        <v>1</v>
      </c>
      <c r="K115">
        <v>3</v>
      </c>
      <c r="L115">
        <v>5</v>
      </c>
      <c r="M115">
        <v>5</v>
      </c>
      <c r="N115">
        <v>5</v>
      </c>
      <c r="O115">
        <v>6</v>
      </c>
      <c r="S115">
        <f t="shared" si="3"/>
        <v>2</v>
      </c>
      <c r="T115">
        <f t="shared" si="2"/>
        <v>2</v>
      </c>
    </row>
    <row r="116" spans="10:20" x14ac:dyDescent="0.3">
      <c r="J116">
        <v>1</v>
      </c>
      <c r="K116">
        <v>2</v>
      </c>
      <c r="L116">
        <v>5</v>
      </c>
      <c r="M116">
        <v>5</v>
      </c>
      <c r="N116">
        <v>6</v>
      </c>
      <c r="O116">
        <v>6</v>
      </c>
      <c r="S116">
        <f t="shared" si="3"/>
        <v>1</v>
      </c>
      <c r="T116">
        <f t="shared" si="2"/>
        <v>3</v>
      </c>
    </row>
    <row r="117" spans="10:20" x14ac:dyDescent="0.3">
      <c r="J117">
        <v>1</v>
      </c>
      <c r="K117">
        <v>1</v>
      </c>
      <c r="L117">
        <v>1</v>
      </c>
      <c r="M117">
        <v>1</v>
      </c>
      <c r="N117">
        <v>2</v>
      </c>
      <c r="O117">
        <v>5</v>
      </c>
      <c r="S117">
        <f t="shared" si="3"/>
        <v>0</v>
      </c>
      <c r="T117">
        <f t="shared" si="2"/>
        <v>0</v>
      </c>
    </row>
    <row r="118" spans="10:20" x14ac:dyDescent="0.3">
      <c r="J118">
        <v>1</v>
      </c>
      <c r="K118">
        <v>3</v>
      </c>
      <c r="L118">
        <v>4</v>
      </c>
      <c r="M118">
        <v>5</v>
      </c>
      <c r="N118">
        <v>5</v>
      </c>
      <c r="O118">
        <v>5</v>
      </c>
      <c r="S118">
        <f t="shared" si="3"/>
        <v>2</v>
      </c>
      <c r="T118">
        <f t="shared" si="2"/>
        <v>1</v>
      </c>
    </row>
    <row r="119" spans="10:20" x14ac:dyDescent="0.3">
      <c r="J119">
        <v>4</v>
      </c>
      <c r="K119">
        <v>5</v>
      </c>
      <c r="L119">
        <v>5</v>
      </c>
      <c r="M119">
        <v>6</v>
      </c>
      <c r="N119">
        <v>6</v>
      </c>
      <c r="O119">
        <v>6</v>
      </c>
      <c r="S119">
        <f t="shared" si="3"/>
        <v>1</v>
      </c>
      <c r="T119">
        <f t="shared" si="2"/>
        <v>0</v>
      </c>
    </row>
    <row r="120" spans="10:20" x14ac:dyDescent="0.3">
      <c r="J120">
        <v>2</v>
      </c>
      <c r="K120">
        <v>2</v>
      </c>
      <c r="L120">
        <v>3</v>
      </c>
      <c r="M120">
        <v>4</v>
      </c>
      <c r="N120">
        <v>4</v>
      </c>
      <c r="O120">
        <v>5</v>
      </c>
      <c r="S120">
        <f t="shared" si="3"/>
        <v>0</v>
      </c>
      <c r="T120">
        <f t="shared" si="2"/>
        <v>1</v>
      </c>
    </row>
  </sheetData>
  <mergeCells count="7">
    <mergeCell ref="A1:H3"/>
    <mergeCell ref="A5:H7"/>
    <mergeCell ref="A9:H10"/>
    <mergeCell ref="A12:H14"/>
    <mergeCell ref="A16:H17"/>
    <mergeCell ref="A19:H22"/>
    <mergeCell ref="A24:H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18"/>
  <sheetViews>
    <sheetView workbookViewId="0">
      <selection activeCell="I24" sqref="I24"/>
    </sheetView>
  </sheetViews>
  <sheetFormatPr defaultRowHeight="14.4" x14ac:dyDescent="0.3"/>
  <cols>
    <col min="10" max="12" width="4.33203125" customWidth="1"/>
    <col min="13" max="14" width="7" customWidth="1"/>
    <col min="15" max="22" width="6.21875" customWidth="1"/>
    <col min="23" max="24" width="9.21875" customWidth="1"/>
  </cols>
  <sheetData>
    <row r="1" spans="1:26" ht="14.4" customHeight="1" x14ac:dyDescent="0.3">
      <c r="A1" s="11" t="s">
        <v>68</v>
      </c>
      <c r="B1" s="11"/>
      <c r="C1" s="11"/>
      <c r="D1" s="11"/>
      <c r="E1" s="11"/>
      <c r="F1" s="11"/>
      <c r="G1" s="11"/>
      <c r="H1" s="11"/>
      <c r="J1" s="7" t="s">
        <v>13</v>
      </c>
      <c r="K1" s="7" t="s">
        <v>22</v>
      </c>
      <c r="L1" s="7" t="s">
        <v>23</v>
      </c>
      <c r="M1" s="7" t="s">
        <v>24</v>
      </c>
      <c r="N1" s="7" t="s">
        <v>25</v>
      </c>
      <c r="O1" s="7" t="s">
        <v>26</v>
      </c>
      <c r="P1" s="7" t="s">
        <v>27</v>
      </c>
      <c r="Q1" s="7" t="s">
        <v>28</v>
      </c>
      <c r="R1" s="7" t="s">
        <v>29</v>
      </c>
      <c r="S1" s="7" t="s">
        <v>30</v>
      </c>
      <c r="T1" s="7" t="s">
        <v>31</v>
      </c>
      <c r="U1" s="7" t="s">
        <v>32</v>
      </c>
      <c r="V1" s="7" t="s">
        <v>33</v>
      </c>
      <c r="W1" s="7" t="s">
        <v>34</v>
      </c>
      <c r="X1" s="7" t="s">
        <v>67</v>
      </c>
      <c r="Z1" s="12" t="s">
        <v>54</v>
      </c>
    </row>
    <row r="2" spans="1:26" x14ac:dyDescent="0.3">
      <c r="A2" s="11"/>
      <c r="B2" s="11"/>
      <c r="C2" s="11"/>
      <c r="D2" s="11"/>
      <c r="E2" s="11"/>
      <c r="F2" s="11"/>
      <c r="G2" s="11"/>
      <c r="H2" s="11"/>
      <c r="J2">
        <v>1</v>
      </c>
      <c r="K2">
        <v>7</v>
      </c>
      <c r="L2">
        <v>5</v>
      </c>
      <c r="M2" t="s">
        <v>35</v>
      </c>
      <c r="N2" t="s">
        <v>36</v>
      </c>
      <c r="O2">
        <v>86.2</v>
      </c>
      <c r="P2">
        <v>26.2</v>
      </c>
      <c r="Q2">
        <v>94.3</v>
      </c>
      <c r="R2">
        <v>5.0999999999999996</v>
      </c>
      <c r="S2">
        <v>8.1999999999999993</v>
      </c>
      <c r="T2">
        <v>51</v>
      </c>
      <c r="U2">
        <v>6.7</v>
      </c>
      <c r="V2">
        <v>0</v>
      </c>
      <c r="W2">
        <v>0</v>
      </c>
      <c r="X2">
        <f>IF(W2&gt;0,1,0)</f>
        <v>0</v>
      </c>
      <c r="Z2" s="12" t="s">
        <v>55</v>
      </c>
    </row>
    <row r="3" spans="1:26" x14ac:dyDescent="0.3">
      <c r="A3" s="11"/>
      <c r="B3" s="11"/>
      <c r="C3" s="11"/>
      <c r="D3" s="11"/>
      <c r="E3" s="11"/>
      <c r="F3" s="11"/>
      <c r="G3" s="11"/>
      <c r="H3" s="11"/>
      <c r="J3">
        <v>2</v>
      </c>
      <c r="K3">
        <v>7</v>
      </c>
      <c r="L3">
        <v>4</v>
      </c>
      <c r="M3" t="s">
        <v>37</v>
      </c>
      <c r="N3" t="s">
        <v>38</v>
      </c>
      <c r="O3">
        <v>90.6</v>
      </c>
      <c r="P3">
        <v>35.4</v>
      </c>
      <c r="Q3">
        <v>669.1</v>
      </c>
      <c r="R3">
        <v>6.7</v>
      </c>
      <c r="S3">
        <v>18</v>
      </c>
      <c r="T3">
        <v>33</v>
      </c>
      <c r="U3">
        <v>0.9</v>
      </c>
      <c r="V3">
        <v>0</v>
      </c>
      <c r="W3">
        <v>0</v>
      </c>
      <c r="X3">
        <f t="shared" ref="X3:X66" si="0">IF(W3&gt;0,1,0)</f>
        <v>0</v>
      </c>
      <c r="Z3" s="12" t="s">
        <v>56</v>
      </c>
    </row>
    <row r="4" spans="1:26" ht="14.4" customHeight="1" x14ac:dyDescent="0.3">
      <c r="A4" s="11"/>
      <c r="B4" s="11"/>
      <c r="C4" s="11"/>
      <c r="D4" s="11"/>
      <c r="E4" s="11"/>
      <c r="F4" s="11"/>
      <c r="G4" s="11"/>
      <c r="H4" s="11"/>
      <c r="J4">
        <v>3</v>
      </c>
      <c r="K4">
        <v>7</v>
      </c>
      <c r="L4">
        <v>4</v>
      </c>
      <c r="M4" t="s">
        <v>37</v>
      </c>
      <c r="N4" t="s">
        <v>39</v>
      </c>
      <c r="O4">
        <v>90.6</v>
      </c>
      <c r="P4">
        <v>43.7</v>
      </c>
      <c r="Q4">
        <v>686.9</v>
      </c>
      <c r="R4">
        <v>6.7</v>
      </c>
      <c r="S4">
        <v>14.6</v>
      </c>
      <c r="T4">
        <v>33</v>
      </c>
      <c r="U4">
        <v>1.3</v>
      </c>
      <c r="V4">
        <v>0</v>
      </c>
      <c r="W4">
        <v>0</v>
      </c>
      <c r="X4">
        <f t="shared" si="0"/>
        <v>0</v>
      </c>
      <c r="Z4" s="12" t="s">
        <v>57</v>
      </c>
    </row>
    <row r="5" spans="1:26" x14ac:dyDescent="0.3">
      <c r="A5" s="11"/>
      <c r="B5" s="11"/>
      <c r="C5" s="11"/>
      <c r="D5" s="11"/>
      <c r="E5" s="11"/>
      <c r="F5" s="11"/>
      <c r="G5" s="11"/>
      <c r="H5" s="11"/>
      <c r="J5">
        <v>4</v>
      </c>
      <c r="K5">
        <v>8</v>
      </c>
      <c r="L5">
        <v>6</v>
      </c>
      <c r="M5" t="s">
        <v>35</v>
      </c>
      <c r="N5" t="s">
        <v>36</v>
      </c>
      <c r="O5">
        <v>91.7</v>
      </c>
      <c r="P5">
        <v>33.299999999999997</v>
      </c>
      <c r="Q5">
        <v>77.5</v>
      </c>
      <c r="R5">
        <v>9</v>
      </c>
      <c r="S5">
        <v>8.3000000000000007</v>
      </c>
      <c r="T5">
        <v>97</v>
      </c>
      <c r="U5">
        <v>4</v>
      </c>
      <c r="V5">
        <v>0.2</v>
      </c>
      <c r="W5">
        <v>0</v>
      </c>
      <c r="X5">
        <f t="shared" si="0"/>
        <v>0</v>
      </c>
      <c r="Z5" s="12" t="s">
        <v>58</v>
      </c>
    </row>
    <row r="6" spans="1:26" x14ac:dyDescent="0.3">
      <c r="A6" s="11"/>
      <c r="B6" s="11"/>
      <c r="C6" s="11"/>
      <c r="D6" s="11"/>
      <c r="E6" s="11"/>
      <c r="F6" s="11"/>
      <c r="G6" s="11"/>
      <c r="H6" s="11"/>
      <c r="J6">
        <v>5</v>
      </c>
      <c r="K6">
        <v>8</v>
      </c>
      <c r="L6">
        <v>6</v>
      </c>
      <c r="M6" t="s">
        <v>35</v>
      </c>
      <c r="N6" t="s">
        <v>40</v>
      </c>
      <c r="O6">
        <v>89.3</v>
      </c>
      <c r="P6">
        <v>51.3</v>
      </c>
      <c r="Q6">
        <v>102.2</v>
      </c>
      <c r="R6">
        <v>9.6</v>
      </c>
      <c r="S6">
        <v>11.4</v>
      </c>
      <c r="T6">
        <v>99</v>
      </c>
      <c r="U6">
        <v>1.8</v>
      </c>
      <c r="V6">
        <v>0</v>
      </c>
      <c r="W6">
        <v>0</v>
      </c>
      <c r="X6">
        <f t="shared" si="0"/>
        <v>0</v>
      </c>
      <c r="Z6" s="12" t="s">
        <v>59</v>
      </c>
    </row>
    <row r="7" spans="1:26" ht="14.4" customHeight="1" x14ac:dyDescent="0.3">
      <c r="A7" s="11"/>
      <c r="B7" s="11"/>
      <c r="C7" s="11"/>
      <c r="D7" s="11"/>
      <c r="E7" s="11"/>
      <c r="F7" s="11"/>
      <c r="G7" s="11"/>
      <c r="H7" s="11"/>
      <c r="J7">
        <v>6</v>
      </c>
      <c r="K7">
        <v>8</v>
      </c>
      <c r="L7">
        <v>6</v>
      </c>
      <c r="M7" t="s">
        <v>41</v>
      </c>
      <c r="N7" t="s">
        <v>40</v>
      </c>
      <c r="O7">
        <v>92.3</v>
      </c>
      <c r="P7">
        <v>85.3</v>
      </c>
      <c r="Q7">
        <v>488</v>
      </c>
      <c r="R7">
        <v>14.7</v>
      </c>
      <c r="S7">
        <v>22.2</v>
      </c>
      <c r="T7">
        <v>29</v>
      </c>
      <c r="U7">
        <v>5.4</v>
      </c>
      <c r="V7">
        <v>0</v>
      </c>
      <c r="W7">
        <v>0</v>
      </c>
      <c r="X7">
        <f t="shared" si="0"/>
        <v>0</v>
      </c>
      <c r="Z7" s="12" t="s">
        <v>60</v>
      </c>
    </row>
    <row r="8" spans="1:26" ht="14.4" customHeight="1" x14ac:dyDescent="0.3">
      <c r="A8" s="11"/>
      <c r="B8" s="11"/>
      <c r="C8" s="11"/>
      <c r="D8" s="11"/>
      <c r="E8" s="11"/>
      <c r="F8" s="11"/>
      <c r="G8" s="11"/>
      <c r="H8" s="11"/>
      <c r="J8">
        <v>7</v>
      </c>
      <c r="K8">
        <v>8</v>
      </c>
      <c r="L8">
        <v>6</v>
      </c>
      <c r="M8" t="s">
        <v>41</v>
      </c>
      <c r="N8" t="s">
        <v>42</v>
      </c>
      <c r="O8">
        <v>92.3</v>
      </c>
      <c r="P8">
        <v>88.9</v>
      </c>
      <c r="Q8">
        <v>495.6</v>
      </c>
      <c r="R8">
        <v>8.5</v>
      </c>
      <c r="S8">
        <v>24.1</v>
      </c>
      <c r="T8">
        <v>27</v>
      </c>
      <c r="U8">
        <v>3.1</v>
      </c>
      <c r="V8">
        <v>0</v>
      </c>
      <c r="W8">
        <v>0</v>
      </c>
      <c r="X8">
        <f t="shared" si="0"/>
        <v>0</v>
      </c>
      <c r="Z8" s="12" t="s">
        <v>61</v>
      </c>
    </row>
    <row r="9" spans="1:26" x14ac:dyDescent="0.3">
      <c r="A9" s="11"/>
      <c r="B9" s="11"/>
      <c r="C9" s="11"/>
      <c r="D9" s="11"/>
      <c r="E9" s="11"/>
      <c r="F9" s="11"/>
      <c r="G9" s="11"/>
      <c r="H9" s="11"/>
      <c r="J9">
        <v>8</v>
      </c>
      <c r="K9">
        <v>8</v>
      </c>
      <c r="L9">
        <v>6</v>
      </c>
      <c r="M9" t="s">
        <v>41</v>
      </c>
      <c r="N9" t="s">
        <v>42</v>
      </c>
      <c r="O9">
        <v>91.5</v>
      </c>
      <c r="P9">
        <v>145.4</v>
      </c>
      <c r="Q9">
        <v>608.20000000000005</v>
      </c>
      <c r="R9">
        <v>10.7</v>
      </c>
      <c r="S9">
        <v>8</v>
      </c>
      <c r="T9">
        <v>86</v>
      </c>
      <c r="U9">
        <v>2.2000000000000002</v>
      </c>
      <c r="V9">
        <v>0</v>
      </c>
      <c r="W9">
        <v>0</v>
      </c>
      <c r="X9">
        <f t="shared" si="0"/>
        <v>0</v>
      </c>
      <c r="Z9" s="12" t="s">
        <v>62</v>
      </c>
    </row>
    <row r="10" spans="1:26" x14ac:dyDescent="0.3">
      <c r="A10" s="11"/>
      <c r="B10" s="11"/>
      <c r="C10" s="11"/>
      <c r="D10" s="11"/>
      <c r="E10" s="11"/>
      <c r="F10" s="11"/>
      <c r="G10" s="11"/>
      <c r="H10" s="11"/>
      <c r="J10">
        <v>9</v>
      </c>
      <c r="K10">
        <v>8</v>
      </c>
      <c r="L10">
        <v>6</v>
      </c>
      <c r="M10" t="s">
        <v>43</v>
      </c>
      <c r="N10" t="s">
        <v>38</v>
      </c>
      <c r="O10">
        <v>91</v>
      </c>
      <c r="P10">
        <v>129.5</v>
      </c>
      <c r="Q10">
        <v>692.6</v>
      </c>
      <c r="R10">
        <v>7</v>
      </c>
      <c r="S10">
        <v>13.1</v>
      </c>
      <c r="T10">
        <v>63</v>
      </c>
      <c r="U10">
        <v>5.4</v>
      </c>
      <c r="V10">
        <v>0</v>
      </c>
      <c r="W10">
        <v>0</v>
      </c>
      <c r="X10">
        <f t="shared" si="0"/>
        <v>0</v>
      </c>
      <c r="Z10" s="12" t="s">
        <v>63</v>
      </c>
    </row>
    <row r="11" spans="1:26" x14ac:dyDescent="0.3">
      <c r="A11" s="11"/>
      <c r="B11" s="11"/>
      <c r="C11" s="11"/>
      <c r="D11" s="11"/>
      <c r="E11" s="11"/>
      <c r="F11" s="11"/>
      <c r="G11" s="11"/>
      <c r="H11" s="11"/>
      <c r="J11">
        <v>10</v>
      </c>
      <c r="K11">
        <v>7</v>
      </c>
      <c r="L11">
        <v>5</v>
      </c>
      <c r="M11" t="s">
        <v>43</v>
      </c>
      <c r="N11" t="s">
        <v>39</v>
      </c>
      <c r="O11">
        <v>92.5</v>
      </c>
      <c r="P11">
        <v>88</v>
      </c>
      <c r="Q11">
        <v>698.6</v>
      </c>
      <c r="R11">
        <v>7.1</v>
      </c>
      <c r="S11">
        <v>22.8</v>
      </c>
      <c r="T11">
        <v>40</v>
      </c>
      <c r="U11">
        <v>4</v>
      </c>
      <c r="V11">
        <v>0</v>
      </c>
      <c r="W11">
        <v>0</v>
      </c>
      <c r="X11">
        <f t="shared" si="0"/>
        <v>0</v>
      </c>
      <c r="Z11" s="12" t="s">
        <v>64</v>
      </c>
    </row>
    <row r="12" spans="1:26" x14ac:dyDescent="0.3">
      <c r="A12" s="11"/>
      <c r="B12" s="11"/>
      <c r="C12" s="11"/>
      <c r="D12" s="11"/>
      <c r="E12" s="11"/>
      <c r="F12" s="11"/>
      <c r="G12" s="11"/>
      <c r="H12" s="11"/>
      <c r="J12">
        <v>11</v>
      </c>
      <c r="K12">
        <v>7</v>
      </c>
      <c r="L12">
        <v>5</v>
      </c>
      <c r="M12" t="s">
        <v>43</v>
      </c>
      <c r="N12" t="s">
        <v>39</v>
      </c>
      <c r="O12">
        <v>92.5</v>
      </c>
      <c r="P12">
        <v>88</v>
      </c>
      <c r="Q12">
        <v>698.6</v>
      </c>
      <c r="R12">
        <v>7.1</v>
      </c>
      <c r="S12">
        <v>17.8</v>
      </c>
      <c r="T12">
        <v>51</v>
      </c>
      <c r="U12">
        <v>7.2</v>
      </c>
      <c r="V12">
        <v>0</v>
      </c>
      <c r="W12">
        <v>0</v>
      </c>
      <c r="X12">
        <f t="shared" si="0"/>
        <v>0</v>
      </c>
      <c r="Z12" s="12" t="s">
        <v>65</v>
      </c>
    </row>
    <row r="13" spans="1:26" ht="15" customHeight="1" x14ac:dyDescent="0.3">
      <c r="A13" s="11"/>
      <c r="B13" s="11"/>
      <c r="C13" s="11"/>
      <c r="D13" s="11"/>
      <c r="E13" s="11"/>
      <c r="F13" s="11"/>
      <c r="G13" s="11"/>
      <c r="H13" s="11"/>
      <c r="J13">
        <v>12</v>
      </c>
      <c r="K13">
        <v>7</v>
      </c>
      <c r="L13">
        <v>5</v>
      </c>
      <c r="M13" t="s">
        <v>43</v>
      </c>
      <c r="N13" t="s">
        <v>39</v>
      </c>
      <c r="O13">
        <v>92.8</v>
      </c>
      <c r="P13">
        <v>73.2</v>
      </c>
      <c r="Q13">
        <v>713</v>
      </c>
      <c r="R13">
        <v>22.6</v>
      </c>
      <c r="S13">
        <v>19.3</v>
      </c>
      <c r="T13">
        <v>38</v>
      </c>
      <c r="U13">
        <v>4</v>
      </c>
      <c r="V13">
        <v>0</v>
      </c>
      <c r="W13">
        <v>0</v>
      </c>
      <c r="X13">
        <f t="shared" si="0"/>
        <v>0</v>
      </c>
      <c r="Z13" s="12" t="s">
        <v>66</v>
      </c>
    </row>
    <row r="14" spans="1:26" ht="14.4" customHeight="1" x14ac:dyDescent="0.3">
      <c r="A14" s="11"/>
      <c r="B14" s="11"/>
      <c r="C14" s="11"/>
      <c r="D14" s="11"/>
      <c r="E14" s="11"/>
      <c r="F14" s="11"/>
      <c r="G14" s="11"/>
      <c r="H14" s="11"/>
      <c r="J14">
        <v>13</v>
      </c>
      <c r="K14">
        <v>6</v>
      </c>
      <c r="L14">
        <v>5</v>
      </c>
      <c r="M14" t="s">
        <v>41</v>
      </c>
      <c r="N14" t="s">
        <v>36</v>
      </c>
      <c r="O14">
        <v>63.5</v>
      </c>
      <c r="P14">
        <v>70.8</v>
      </c>
      <c r="Q14">
        <v>665.3</v>
      </c>
      <c r="R14">
        <v>0.8</v>
      </c>
      <c r="S14">
        <v>17</v>
      </c>
      <c r="T14">
        <v>72</v>
      </c>
      <c r="U14">
        <v>6.7</v>
      </c>
      <c r="V14">
        <v>0</v>
      </c>
      <c r="W14">
        <v>0</v>
      </c>
      <c r="X14">
        <f t="shared" si="0"/>
        <v>0</v>
      </c>
    </row>
    <row r="15" spans="1:26" x14ac:dyDescent="0.3">
      <c r="A15" s="11"/>
      <c r="B15" s="11"/>
      <c r="C15" s="11"/>
      <c r="D15" s="11"/>
      <c r="E15" s="11"/>
      <c r="F15" s="11"/>
      <c r="G15" s="11"/>
      <c r="H15" s="11"/>
      <c r="J15">
        <v>14</v>
      </c>
      <c r="K15">
        <v>6</v>
      </c>
      <c r="L15">
        <v>5</v>
      </c>
      <c r="M15" t="s">
        <v>43</v>
      </c>
      <c r="N15" t="s">
        <v>42</v>
      </c>
      <c r="O15">
        <v>90.9</v>
      </c>
      <c r="P15">
        <v>126.5</v>
      </c>
      <c r="Q15">
        <v>686.5</v>
      </c>
      <c r="R15">
        <v>7</v>
      </c>
      <c r="S15">
        <v>21.3</v>
      </c>
      <c r="T15">
        <v>42</v>
      </c>
      <c r="U15">
        <v>2.2000000000000002</v>
      </c>
      <c r="V15">
        <v>0</v>
      </c>
      <c r="W15">
        <v>0</v>
      </c>
      <c r="X15">
        <f t="shared" si="0"/>
        <v>0</v>
      </c>
    </row>
    <row r="16" spans="1:26" ht="14.4" customHeight="1" x14ac:dyDescent="0.3">
      <c r="A16" s="11"/>
      <c r="B16" s="11"/>
      <c r="C16" s="11"/>
      <c r="D16" s="11"/>
      <c r="E16" s="11"/>
      <c r="F16" s="11"/>
      <c r="G16" s="11"/>
      <c r="H16" s="11"/>
      <c r="J16">
        <v>15</v>
      </c>
      <c r="K16">
        <v>6</v>
      </c>
      <c r="L16">
        <v>5</v>
      </c>
      <c r="M16" t="s">
        <v>43</v>
      </c>
      <c r="N16" t="s">
        <v>44</v>
      </c>
      <c r="O16">
        <v>92.9</v>
      </c>
      <c r="P16">
        <v>133.30000000000001</v>
      </c>
      <c r="Q16">
        <v>699.6</v>
      </c>
      <c r="R16">
        <v>9.1999999999999993</v>
      </c>
      <c r="S16">
        <v>26.4</v>
      </c>
      <c r="T16">
        <v>21</v>
      </c>
      <c r="U16">
        <v>4.5</v>
      </c>
      <c r="V16">
        <v>0</v>
      </c>
      <c r="W16">
        <v>0</v>
      </c>
      <c r="X16">
        <f t="shared" si="0"/>
        <v>0</v>
      </c>
    </row>
    <row r="17" spans="1:24" x14ac:dyDescent="0.3">
      <c r="A17" s="11"/>
      <c r="B17" s="11"/>
      <c r="C17" s="11"/>
      <c r="D17" s="11"/>
      <c r="E17" s="11"/>
      <c r="F17" s="11"/>
      <c r="G17" s="11"/>
      <c r="H17" s="11"/>
      <c r="J17">
        <v>16</v>
      </c>
      <c r="K17">
        <v>6</v>
      </c>
      <c r="L17">
        <v>5</v>
      </c>
      <c r="M17" t="s">
        <v>43</v>
      </c>
      <c r="N17" t="s">
        <v>36</v>
      </c>
      <c r="O17">
        <v>93.3</v>
      </c>
      <c r="P17">
        <v>141.19999999999999</v>
      </c>
      <c r="Q17">
        <v>713.9</v>
      </c>
      <c r="R17">
        <v>13.9</v>
      </c>
      <c r="S17">
        <v>22.9</v>
      </c>
      <c r="T17">
        <v>44</v>
      </c>
      <c r="U17">
        <v>5.4</v>
      </c>
      <c r="V17">
        <v>0</v>
      </c>
      <c r="W17">
        <v>0</v>
      </c>
      <c r="X17">
        <f t="shared" si="0"/>
        <v>0</v>
      </c>
    </row>
    <row r="18" spans="1:24" ht="14.4" customHeight="1" x14ac:dyDescent="0.3">
      <c r="A18" s="9"/>
      <c r="B18" s="9"/>
      <c r="C18" s="9"/>
      <c r="D18" s="9"/>
      <c r="E18" s="9"/>
      <c r="F18" s="9"/>
      <c r="G18" s="9"/>
      <c r="H18" s="9"/>
      <c r="J18">
        <v>17</v>
      </c>
      <c r="K18">
        <v>5</v>
      </c>
      <c r="L18">
        <v>5</v>
      </c>
      <c r="M18" t="s">
        <v>35</v>
      </c>
      <c r="N18" t="s">
        <v>39</v>
      </c>
      <c r="O18">
        <v>91.7</v>
      </c>
      <c r="P18">
        <v>35.799999999999997</v>
      </c>
      <c r="Q18">
        <v>80.8</v>
      </c>
      <c r="R18">
        <v>7.8</v>
      </c>
      <c r="S18">
        <v>15.1</v>
      </c>
      <c r="T18">
        <v>27</v>
      </c>
      <c r="U18">
        <v>5.4</v>
      </c>
      <c r="V18">
        <v>0</v>
      </c>
      <c r="W18">
        <v>0</v>
      </c>
      <c r="X18">
        <f t="shared" si="0"/>
        <v>0</v>
      </c>
    </row>
    <row r="19" spans="1:24" x14ac:dyDescent="0.3">
      <c r="A19" s="10" t="s">
        <v>69</v>
      </c>
      <c r="B19" s="10"/>
      <c r="C19" s="10"/>
      <c r="D19" s="10"/>
      <c r="E19" s="10"/>
      <c r="F19" s="10"/>
      <c r="G19" s="10"/>
      <c r="H19" s="10"/>
      <c r="J19">
        <v>18</v>
      </c>
      <c r="K19">
        <v>8</v>
      </c>
      <c r="L19">
        <v>5</v>
      </c>
      <c r="M19" t="s">
        <v>37</v>
      </c>
      <c r="N19" t="s">
        <v>42</v>
      </c>
      <c r="O19">
        <v>84.9</v>
      </c>
      <c r="P19">
        <v>32.799999999999997</v>
      </c>
      <c r="Q19">
        <v>664.2</v>
      </c>
      <c r="R19">
        <v>3</v>
      </c>
      <c r="S19">
        <v>16.7</v>
      </c>
      <c r="T19">
        <v>47</v>
      </c>
      <c r="U19">
        <v>4.9000000000000004</v>
      </c>
      <c r="V19">
        <v>0</v>
      </c>
      <c r="W19">
        <v>0</v>
      </c>
      <c r="X19">
        <f t="shared" si="0"/>
        <v>0</v>
      </c>
    </row>
    <row r="20" spans="1:24" ht="14.4" customHeight="1" x14ac:dyDescent="0.3">
      <c r="A20" s="10"/>
      <c r="B20" s="10"/>
      <c r="C20" s="10"/>
      <c r="D20" s="10"/>
      <c r="E20" s="10"/>
      <c r="F20" s="10"/>
      <c r="G20" s="10"/>
      <c r="H20" s="10"/>
      <c r="J20">
        <v>19</v>
      </c>
      <c r="K20">
        <v>6</v>
      </c>
      <c r="L20">
        <v>4</v>
      </c>
      <c r="M20" t="s">
        <v>35</v>
      </c>
      <c r="N20" t="s">
        <v>44</v>
      </c>
      <c r="O20">
        <v>89.2</v>
      </c>
      <c r="P20">
        <v>27.9</v>
      </c>
      <c r="Q20">
        <v>70.8</v>
      </c>
      <c r="R20">
        <v>6.3</v>
      </c>
      <c r="S20">
        <v>15.9</v>
      </c>
      <c r="T20">
        <v>35</v>
      </c>
      <c r="U20">
        <v>4</v>
      </c>
      <c r="V20">
        <v>0</v>
      </c>
      <c r="W20">
        <v>0</v>
      </c>
      <c r="X20">
        <f t="shared" si="0"/>
        <v>0</v>
      </c>
    </row>
    <row r="21" spans="1:24" ht="15" customHeight="1" x14ac:dyDescent="0.3">
      <c r="A21" s="10"/>
      <c r="B21" s="10"/>
      <c r="C21" s="10"/>
      <c r="D21" s="10"/>
      <c r="E21" s="10"/>
      <c r="F21" s="10"/>
      <c r="G21" s="10"/>
      <c r="H21" s="10"/>
      <c r="J21">
        <v>20</v>
      </c>
      <c r="K21">
        <v>6</v>
      </c>
      <c r="L21">
        <v>4</v>
      </c>
      <c r="M21" t="s">
        <v>45</v>
      </c>
      <c r="N21" t="s">
        <v>39</v>
      </c>
      <c r="O21">
        <v>86.3</v>
      </c>
      <c r="P21">
        <v>27.4</v>
      </c>
      <c r="Q21">
        <v>97.1</v>
      </c>
      <c r="R21">
        <v>5.0999999999999996</v>
      </c>
      <c r="S21">
        <v>9.3000000000000007</v>
      </c>
      <c r="T21">
        <v>44</v>
      </c>
      <c r="U21">
        <v>4.5</v>
      </c>
      <c r="V21">
        <v>0</v>
      </c>
      <c r="W21">
        <v>0</v>
      </c>
      <c r="X21">
        <f t="shared" si="0"/>
        <v>0</v>
      </c>
    </row>
    <row r="22" spans="1:24" x14ac:dyDescent="0.3">
      <c r="A22" s="10"/>
      <c r="B22" s="10"/>
      <c r="C22" s="10"/>
      <c r="D22" s="10"/>
      <c r="E22" s="10"/>
      <c r="F22" s="10"/>
      <c r="G22" s="10"/>
      <c r="H22" s="10"/>
      <c r="J22">
        <v>21</v>
      </c>
      <c r="K22">
        <v>6</v>
      </c>
      <c r="L22">
        <v>4</v>
      </c>
      <c r="M22" t="s">
        <v>43</v>
      </c>
      <c r="N22" t="s">
        <v>38</v>
      </c>
      <c r="O22">
        <v>91</v>
      </c>
      <c r="P22">
        <v>129.5</v>
      </c>
      <c r="Q22">
        <v>692.6</v>
      </c>
      <c r="R22">
        <v>7</v>
      </c>
      <c r="S22">
        <v>18.3</v>
      </c>
      <c r="T22">
        <v>40</v>
      </c>
      <c r="U22">
        <v>2.7</v>
      </c>
      <c r="V22">
        <v>0</v>
      </c>
      <c r="W22">
        <v>0</v>
      </c>
      <c r="X22">
        <f t="shared" si="0"/>
        <v>0</v>
      </c>
    </row>
    <row r="23" spans="1:24" x14ac:dyDescent="0.3">
      <c r="A23" s="6"/>
      <c r="B23" s="6"/>
      <c r="C23" s="6"/>
      <c r="D23" s="6"/>
      <c r="E23" s="6"/>
      <c r="F23" s="6"/>
      <c r="G23" s="6"/>
      <c r="H23" s="6"/>
      <c r="J23">
        <v>22</v>
      </c>
      <c r="K23">
        <v>5</v>
      </c>
      <c r="L23">
        <v>4</v>
      </c>
      <c r="M23" t="s">
        <v>43</v>
      </c>
      <c r="N23" t="s">
        <v>42</v>
      </c>
      <c r="O23">
        <v>91.8</v>
      </c>
      <c r="P23">
        <v>78.5</v>
      </c>
      <c r="Q23">
        <v>724.3</v>
      </c>
      <c r="R23">
        <v>9.1999999999999993</v>
      </c>
      <c r="S23">
        <v>19.100000000000001</v>
      </c>
      <c r="T23">
        <v>38</v>
      </c>
      <c r="U23">
        <v>2.7</v>
      </c>
      <c r="V23">
        <v>0</v>
      </c>
      <c r="W23">
        <v>0</v>
      </c>
      <c r="X23">
        <f t="shared" si="0"/>
        <v>0</v>
      </c>
    </row>
    <row r="24" spans="1:24" x14ac:dyDescent="0.3">
      <c r="A24" s="11" t="s">
        <v>70</v>
      </c>
      <c r="B24" s="11"/>
      <c r="C24" s="11"/>
      <c r="D24" s="11"/>
      <c r="E24" s="11"/>
      <c r="F24" s="11"/>
      <c r="G24" s="11"/>
      <c r="H24" s="11"/>
      <c r="J24">
        <v>23</v>
      </c>
      <c r="K24">
        <v>7</v>
      </c>
      <c r="L24">
        <v>4</v>
      </c>
      <c r="M24" t="s">
        <v>46</v>
      </c>
      <c r="N24" t="s">
        <v>40</v>
      </c>
      <c r="O24">
        <v>94.3</v>
      </c>
      <c r="P24">
        <v>96.3</v>
      </c>
      <c r="Q24">
        <v>200</v>
      </c>
      <c r="R24">
        <v>56.1</v>
      </c>
      <c r="S24">
        <v>21</v>
      </c>
      <c r="T24">
        <v>44</v>
      </c>
      <c r="U24">
        <v>4.5</v>
      </c>
      <c r="V24">
        <v>0</v>
      </c>
      <c r="W24">
        <v>0</v>
      </c>
      <c r="X24">
        <f t="shared" si="0"/>
        <v>0</v>
      </c>
    </row>
    <row r="25" spans="1:24" ht="14.4" customHeight="1" x14ac:dyDescent="0.3">
      <c r="A25" s="11"/>
      <c r="B25" s="11"/>
      <c r="C25" s="11"/>
      <c r="D25" s="11"/>
      <c r="E25" s="11"/>
      <c r="F25" s="11"/>
      <c r="G25" s="11"/>
      <c r="H25" s="11"/>
      <c r="J25">
        <v>24</v>
      </c>
      <c r="K25">
        <v>7</v>
      </c>
      <c r="L25">
        <v>4</v>
      </c>
      <c r="M25" t="s">
        <v>41</v>
      </c>
      <c r="N25" t="s">
        <v>39</v>
      </c>
      <c r="O25">
        <v>90.2</v>
      </c>
      <c r="P25">
        <v>110.9</v>
      </c>
      <c r="Q25">
        <v>537.4</v>
      </c>
      <c r="R25">
        <v>6.2</v>
      </c>
      <c r="S25">
        <v>19.5</v>
      </c>
      <c r="T25">
        <v>43</v>
      </c>
      <c r="U25">
        <v>5.8</v>
      </c>
      <c r="V25">
        <v>0</v>
      </c>
      <c r="W25">
        <v>0</v>
      </c>
      <c r="X25">
        <f t="shared" si="0"/>
        <v>0</v>
      </c>
    </row>
    <row r="26" spans="1:24" x14ac:dyDescent="0.3">
      <c r="A26" s="11"/>
      <c r="B26" s="11"/>
      <c r="C26" s="11"/>
      <c r="D26" s="11"/>
      <c r="E26" s="11"/>
      <c r="F26" s="11"/>
      <c r="G26" s="11"/>
      <c r="H26" s="11"/>
      <c r="J26">
        <v>25</v>
      </c>
      <c r="K26">
        <v>7</v>
      </c>
      <c r="L26">
        <v>4</v>
      </c>
      <c r="M26" t="s">
        <v>41</v>
      </c>
      <c r="N26" t="s">
        <v>39</v>
      </c>
      <c r="O26">
        <v>93.5</v>
      </c>
      <c r="P26">
        <v>139.4</v>
      </c>
      <c r="Q26">
        <v>594.20000000000005</v>
      </c>
      <c r="R26">
        <v>20.3</v>
      </c>
      <c r="S26">
        <v>23.7</v>
      </c>
      <c r="T26">
        <v>32</v>
      </c>
      <c r="U26">
        <v>5.8</v>
      </c>
      <c r="V26">
        <v>0</v>
      </c>
      <c r="W26">
        <v>0</v>
      </c>
      <c r="X26">
        <f t="shared" si="0"/>
        <v>0</v>
      </c>
    </row>
    <row r="27" spans="1:24" x14ac:dyDescent="0.3">
      <c r="A27" s="9"/>
      <c r="B27" s="9"/>
      <c r="C27" s="9"/>
      <c r="D27" s="9"/>
      <c r="E27" s="9"/>
      <c r="F27" s="9"/>
      <c r="G27" s="9"/>
      <c r="H27" s="9"/>
      <c r="J27">
        <v>26</v>
      </c>
      <c r="K27">
        <v>7</v>
      </c>
      <c r="L27">
        <v>4</v>
      </c>
      <c r="M27" t="s">
        <v>41</v>
      </c>
      <c r="N27" t="s">
        <v>40</v>
      </c>
      <c r="O27">
        <v>91.4</v>
      </c>
      <c r="P27">
        <v>142.4</v>
      </c>
      <c r="Q27">
        <v>601.4</v>
      </c>
      <c r="R27">
        <v>10.6</v>
      </c>
      <c r="S27">
        <v>16.3</v>
      </c>
      <c r="T27">
        <v>60</v>
      </c>
      <c r="U27">
        <v>5.4</v>
      </c>
      <c r="V27">
        <v>0</v>
      </c>
      <c r="W27">
        <v>0</v>
      </c>
      <c r="X27">
        <f t="shared" si="0"/>
        <v>0</v>
      </c>
    </row>
    <row r="28" spans="1:24" ht="14.4" customHeight="1" x14ac:dyDescent="0.3">
      <c r="A28" s="10" t="s">
        <v>71</v>
      </c>
      <c r="B28" s="10"/>
      <c r="C28" s="10"/>
      <c r="D28" s="10"/>
      <c r="E28" s="10"/>
      <c r="F28" s="10"/>
      <c r="G28" s="10"/>
      <c r="H28" s="10"/>
      <c r="J28">
        <v>27</v>
      </c>
      <c r="K28">
        <v>7</v>
      </c>
      <c r="L28">
        <v>4</v>
      </c>
      <c r="M28" t="s">
        <v>43</v>
      </c>
      <c r="N28" t="s">
        <v>36</v>
      </c>
      <c r="O28">
        <v>92.4</v>
      </c>
      <c r="P28">
        <v>117.9</v>
      </c>
      <c r="Q28">
        <v>668</v>
      </c>
      <c r="R28">
        <v>12.2</v>
      </c>
      <c r="S28">
        <v>19</v>
      </c>
      <c r="T28">
        <v>34</v>
      </c>
      <c r="U28">
        <v>5.8</v>
      </c>
      <c r="V28">
        <v>0</v>
      </c>
      <c r="W28">
        <v>0</v>
      </c>
      <c r="X28">
        <f t="shared" si="0"/>
        <v>0</v>
      </c>
    </row>
    <row r="29" spans="1:24" x14ac:dyDescent="0.3">
      <c r="A29" s="10"/>
      <c r="B29" s="10"/>
      <c r="C29" s="10"/>
      <c r="D29" s="10"/>
      <c r="E29" s="10"/>
      <c r="F29" s="10"/>
      <c r="G29" s="10"/>
      <c r="H29" s="10"/>
      <c r="J29">
        <v>28</v>
      </c>
      <c r="K29">
        <v>7</v>
      </c>
      <c r="L29">
        <v>4</v>
      </c>
      <c r="M29" t="s">
        <v>43</v>
      </c>
      <c r="N29" t="s">
        <v>42</v>
      </c>
      <c r="O29">
        <v>90.9</v>
      </c>
      <c r="P29">
        <v>126.5</v>
      </c>
      <c r="Q29">
        <v>686.5</v>
      </c>
      <c r="R29">
        <v>7</v>
      </c>
      <c r="S29">
        <v>19.399999999999999</v>
      </c>
      <c r="T29">
        <v>48</v>
      </c>
      <c r="U29">
        <v>1.3</v>
      </c>
      <c r="V29">
        <v>0</v>
      </c>
      <c r="W29">
        <v>0</v>
      </c>
      <c r="X29">
        <f t="shared" si="0"/>
        <v>0</v>
      </c>
    </row>
    <row r="30" spans="1:24" ht="14.4" customHeight="1" x14ac:dyDescent="0.3">
      <c r="A30" s="10"/>
      <c r="B30" s="10"/>
      <c r="C30" s="10"/>
      <c r="D30" s="10"/>
      <c r="E30" s="10"/>
      <c r="F30" s="10"/>
      <c r="G30" s="10"/>
      <c r="H30" s="10"/>
      <c r="J30">
        <v>29</v>
      </c>
      <c r="K30">
        <v>6</v>
      </c>
      <c r="L30">
        <v>3</v>
      </c>
      <c r="M30" t="s">
        <v>43</v>
      </c>
      <c r="N30" t="s">
        <v>39</v>
      </c>
      <c r="O30">
        <v>93.4</v>
      </c>
      <c r="P30">
        <v>145.4</v>
      </c>
      <c r="Q30">
        <v>721.4</v>
      </c>
      <c r="R30">
        <v>8.1</v>
      </c>
      <c r="S30">
        <v>30.2</v>
      </c>
      <c r="T30">
        <v>24</v>
      </c>
      <c r="U30">
        <v>2.7</v>
      </c>
      <c r="V30">
        <v>0</v>
      </c>
      <c r="W30">
        <v>0</v>
      </c>
      <c r="X30">
        <f t="shared" si="0"/>
        <v>0</v>
      </c>
    </row>
    <row r="31" spans="1:24" x14ac:dyDescent="0.3">
      <c r="J31">
        <v>30</v>
      </c>
      <c r="K31">
        <v>6</v>
      </c>
      <c r="L31">
        <v>3</v>
      </c>
      <c r="M31" t="s">
        <v>43</v>
      </c>
      <c r="N31" t="s">
        <v>40</v>
      </c>
      <c r="O31">
        <v>93.5</v>
      </c>
      <c r="P31">
        <v>149.30000000000001</v>
      </c>
      <c r="Q31">
        <v>728.6</v>
      </c>
      <c r="R31">
        <v>8.1</v>
      </c>
      <c r="S31">
        <v>22.8</v>
      </c>
      <c r="T31">
        <v>39</v>
      </c>
      <c r="U31">
        <v>3.6</v>
      </c>
      <c r="V31">
        <v>0</v>
      </c>
      <c r="W31">
        <v>0</v>
      </c>
      <c r="X31">
        <f t="shared" si="0"/>
        <v>0</v>
      </c>
    </row>
    <row r="32" spans="1:24" x14ac:dyDescent="0.3">
      <c r="A32" s="11" t="s">
        <v>72</v>
      </c>
      <c r="B32" s="11"/>
      <c r="C32" s="11"/>
      <c r="D32" s="11"/>
      <c r="E32" s="11"/>
      <c r="F32" s="11"/>
      <c r="G32" s="11"/>
      <c r="H32" s="11"/>
      <c r="J32">
        <v>31</v>
      </c>
      <c r="K32">
        <v>6</v>
      </c>
      <c r="L32">
        <v>3</v>
      </c>
      <c r="M32" t="s">
        <v>43</v>
      </c>
      <c r="N32" t="s">
        <v>36</v>
      </c>
      <c r="O32">
        <v>94.3</v>
      </c>
      <c r="P32">
        <v>85.1</v>
      </c>
      <c r="Q32">
        <v>692.3</v>
      </c>
      <c r="R32">
        <v>15.9</v>
      </c>
      <c r="S32">
        <v>25.4</v>
      </c>
      <c r="T32">
        <v>24</v>
      </c>
      <c r="U32">
        <v>3.6</v>
      </c>
      <c r="V32">
        <v>0</v>
      </c>
      <c r="W32">
        <v>0</v>
      </c>
      <c r="X32">
        <f t="shared" si="0"/>
        <v>0</v>
      </c>
    </row>
    <row r="33" spans="1:24" x14ac:dyDescent="0.3">
      <c r="A33" s="11"/>
      <c r="B33" s="11"/>
      <c r="C33" s="11"/>
      <c r="D33" s="11"/>
      <c r="E33" s="11"/>
      <c r="F33" s="11"/>
      <c r="G33" s="11"/>
      <c r="H33" s="11"/>
      <c r="J33">
        <v>32</v>
      </c>
      <c r="K33">
        <v>6</v>
      </c>
      <c r="L33">
        <v>3</v>
      </c>
      <c r="M33" t="s">
        <v>43</v>
      </c>
      <c r="N33" t="s">
        <v>42</v>
      </c>
      <c r="O33">
        <v>88.6</v>
      </c>
      <c r="P33">
        <v>91.8</v>
      </c>
      <c r="Q33">
        <v>709.9</v>
      </c>
      <c r="R33">
        <v>7.1</v>
      </c>
      <c r="S33">
        <v>11.2</v>
      </c>
      <c r="T33">
        <v>78</v>
      </c>
      <c r="U33">
        <v>7.6</v>
      </c>
      <c r="V33">
        <v>0</v>
      </c>
      <c r="W33">
        <v>0</v>
      </c>
      <c r="X33">
        <f t="shared" si="0"/>
        <v>0</v>
      </c>
    </row>
    <row r="34" spans="1:24" x14ac:dyDescent="0.3">
      <c r="A34" s="11"/>
      <c r="B34" s="11"/>
      <c r="C34" s="11"/>
      <c r="D34" s="11"/>
      <c r="E34" s="11"/>
      <c r="F34" s="11"/>
      <c r="G34" s="11"/>
      <c r="H34" s="11"/>
      <c r="J34">
        <v>33</v>
      </c>
      <c r="K34">
        <v>6</v>
      </c>
      <c r="L34">
        <v>3</v>
      </c>
      <c r="M34" t="s">
        <v>43</v>
      </c>
      <c r="N34" t="s">
        <v>36</v>
      </c>
      <c r="O34">
        <v>88.6</v>
      </c>
      <c r="P34">
        <v>69.7</v>
      </c>
      <c r="Q34">
        <v>706.8</v>
      </c>
      <c r="R34">
        <v>5.8</v>
      </c>
      <c r="S34">
        <v>20.6</v>
      </c>
      <c r="T34">
        <v>37</v>
      </c>
      <c r="U34">
        <v>1.8</v>
      </c>
      <c r="V34">
        <v>0</v>
      </c>
      <c r="W34">
        <v>0</v>
      </c>
      <c r="X34">
        <f t="shared" si="0"/>
        <v>0</v>
      </c>
    </row>
    <row r="35" spans="1:24" x14ac:dyDescent="0.3">
      <c r="J35">
        <v>34</v>
      </c>
      <c r="K35">
        <v>6</v>
      </c>
      <c r="L35">
        <v>3</v>
      </c>
      <c r="M35" t="s">
        <v>43</v>
      </c>
      <c r="N35" t="s">
        <v>40</v>
      </c>
      <c r="O35">
        <v>91.7</v>
      </c>
      <c r="P35">
        <v>75.599999999999994</v>
      </c>
      <c r="Q35">
        <v>718.3</v>
      </c>
      <c r="R35">
        <v>7.8</v>
      </c>
      <c r="S35">
        <v>17.7</v>
      </c>
      <c r="T35">
        <v>39</v>
      </c>
      <c r="U35">
        <v>3.6</v>
      </c>
      <c r="V35">
        <v>0</v>
      </c>
      <c r="W35">
        <v>0</v>
      </c>
      <c r="X35">
        <f t="shared" si="0"/>
        <v>0</v>
      </c>
    </row>
    <row r="36" spans="1:24" x14ac:dyDescent="0.3">
      <c r="J36">
        <v>35</v>
      </c>
      <c r="K36">
        <v>6</v>
      </c>
      <c r="L36">
        <v>3</v>
      </c>
      <c r="M36" t="s">
        <v>43</v>
      </c>
      <c r="N36" t="s">
        <v>42</v>
      </c>
      <c r="O36">
        <v>91.8</v>
      </c>
      <c r="P36">
        <v>78.5</v>
      </c>
      <c r="Q36">
        <v>724.3</v>
      </c>
      <c r="R36">
        <v>9.1999999999999993</v>
      </c>
      <c r="S36">
        <v>21.2</v>
      </c>
      <c r="T36">
        <v>32</v>
      </c>
      <c r="U36">
        <v>2.7</v>
      </c>
      <c r="V36">
        <v>0</v>
      </c>
      <c r="W36">
        <v>0</v>
      </c>
      <c r="X36">
        <f t="shared" si="0"/>
        <v>0</v>
      </c>
    </row>
    <row r="37" spans="1:24" x14ac:dyDescent="0.3">
      <c r="J37">
        <v>36</v>
      </c>
      <c r="K37">
        <v>6</v>
      </c>
      <c r="L37">
        <v>3</v>
      </c>
      <c r="M37" t="s">
        <v>43</v>
      </c>
      <c r="N37" t="s">
        <v>38</v>
      </c>
      <c r="O37">
        <v>90.3</v>
      </c>
      <c r="P37">
        <v>80.7</v>
      </c>
      <c r="Q37">
        <v>730.2</v>
      </c>
      <c r="R37">
        <v>6.3</v>
      </c>
      <c r="S37">
        <v>18.2</v>
      </c>
      <c r="T37">
        <v>62</v>
      </c>
      <c r="U37">
        <v>4.5</v>
      </c>
      <c r="V37">
        <v>0</v>
      </c>
      <c r="W37">
        <v>0</v>
      </c>
      <c r="X37">
        <f t="shared" si="0"/>
        <v>0</v>
      </c>
    </row>
    <row r="38" spans="1:24" ht="14.4" customHeight="1" x14ac:dyDescent="0.3">
      <c r="J38">
        <v>37</v>
      </c>
      <c r="K38">
        <v>6</v>
      </c>
      <c r="L38">
        <v>3</v>
      </c>
      <c r="M38" t="s">
        <v>37</v>
      </c>
      <c r="N38" t="s">
        <v>38</v>
      </c>
      <c r="O38">
        <v>90.6</v>
      </c>
      <c r="P38">
        <v>35.4</v>
      </c>
      <c r="Q38">
        <v>669.1</v>
      </c>
      <c r="R38">
        <v>6.7</v>
      </c>
      <c r="S38">
        <v>21.7</v>
      </c>
      <c r="T38">
        <v>24</v>
      </c>
      <c r="U38">
        <v>4.5</v>
      </c>
      <c r="V38">
        <v>0</v>
      </c>
      <c r="W38">
        <v>0</v>
      </c>
      <c r="X38">
        <f t="shared" si="0"/>
        <v>0</v>
      </c>
    </row>
    <row r="39" spans="1:24" x14ac:dyDescent="0.3">
      <c r="J39">
        <v>38</v>
      </c>
      <c r="K39">
        <v>7</v>
      </c>
      <c r="L39">
        <v>4</v>
      </c>
      <c r="M39" t="s">
        <v>37</v>
      </c>
      <c r="N39" t="s">
        <v>36</v>
      </c>
      <c r="O39">
        <v>90</v>
      </c>
      <c r="P39">
        <v>41.5</v>
      </c>
      <c r="Q39">
        <v>682.6</v>
      </c>
      <c r="R39">
        <v>8.6999999999999993</v>
      </c>
      <c r="S39">
        <v>11.3</v>
      </c>
      <c r="T39">
        <v>60</v>
      </c>
      <c r="U39">
        <v>5.4</v>
      </c>
      <c r="V39">
        <v>0</v>
      </c>
      <c r="W39">
        <v>0</v>
      </c>
      <c r="X39">
        <f t="shared" si="0"/>
        <v>0</v>
      </c>
    </row>
    <row r="40" spans="1:24" x14ac:dyDescent="0.3">
      <c r="J40">
        <v>39</v>
      </c>
      <c r="K40">
        <v>7</v>
      </c>
      <c r="L40">
        <v>3</v>
      </c>
      <c r="M40" t="s">
        <v>37</v>
      </c>
      <c r="N40" t="s">
        <v>39</v>
      </c>
      <c r="O40">
        <v>90.6</v>
      </c>
      <c r="P40">
        <v>43.7</v>
      </c>
      <c r="Q40">
        <v>686.9</v>
      </c>
      <c r="R40">
        <v>6.7</v>
      </c>
      <c r="S40">
        <v>17.8</v>
      </c>
      <c r="T40">
        <v>27</v>
      </c>
      <c r="U40">
        <v>4</v>
      </c>
      <c r="V40">
        <v>0</v>
      </c>
      <c r="W40">
        <v>0</v>
      </c>
      <c r="X40">
        <f t="shared" si="0"/>
        <v>0</v>
      </c>
    </row>
    <row r="41" spans="1:24" x14ac:dyDescent="0.3">
      <c r="J41">
        <v>40</v>
      </c>
      <c r="K41">
        <v>4</v>
      </c>
      <c r="L41">
        <v>4</v>
      </c>
      <c r="M41" t="s">
        <v>35</v>
      </c>
      <c r="N41" t="s">
        <v>38</v>
      </c>
      <c r="O41">
        <v>88.1</v>
      </c>
      <c r="P41">
        <v>25.7</v>
      </c>
      <c r="Q41">
        <v>67.599999999999994</v>
      </c>
      <c r="R41">
        <v>3.8</v>
      </c>
      <c r="S41">
        <v>14.1</v>
      </c>
      <c r="T41">
        <v>43</v>
      </c>
      <c r="U41">
        <v>2.7</v>
      </c>
      <c r="V41">
        <v>0</v>
      </c>
      <c r="W41">
        <v>0</v>
      </c>
      <c r="X41">
        <f t="shared" si="0"/>
        <v>0</v>
      </c>
    </row>
    <row r="42" spans="1:24" x14ac:dyDescent="0.3">
      <c r="J42">
        <v>41</v>
      </c>
      <c r="K42">
        <v>4</v>
      </c>
      <c r="L42">
        <v>4</v>
      </c>
      <c r="M42" t="s">
        <v>47</v>
      </c>
      <c r="N42" t="s">
        <v>38</v>
      </c>
      <c r="O42">
        <v>79.5</v>
      </c>
      <c r="P42">
        <v>60.6</v>
      </c>
      <c r="Q42">
        <v>366.7</v>
      </c>
      <c r="R42">
        <v>1.5</v>
      </c>
      <c r="S42">
        <v>23.3</v>
      </c>
      <c r="T42">
        <v>37</v>
      </c>
      <c r="U42">
        <v>3.1</v>
      </c>
      <c r="V42">
        <v>0</v>
      </c>
      <c r="W42">
        <v>0</v>
      </c>
      <c r="X42">
        <f t="shared" si="0"/>
        <v>0</v>
      </c>
    </row>
    <row r="43" spans="1:24" x14ac:dyDescent="0.3">
      <c r="J43">
        <v>42</v>
      </c>
      <c r="K43">
        <v>4</v>
      </c>
      <c r="L43">
        <v>4</v>
      </c>
      <c r="M43" t="s">
        <v>41</v>
      </c>
      <c r="N43" t="s">
        <v>39</v>
      </c>
      <c r="O43">
        <v>90.2</v>
      </c>
      <c r="P43">
        <v>96.9</v>
      </c>
      <c r="Q43">
        <v>624.20000000000005</v>
      </c>
      <c r="R43">
        <v>8.9</v>
      </c>
      <c r="S43">
        <v>18.399999999999999</v>
      </c>
      <c r="T43">
        <v>42</v>
      </c>
      <c r="U43">
        <v>6.7</v>
      </c>
      <c r="V43">
        <v>0</v>
      </c>
      <c r="W43">
        <v>0</v>
      </c>
      <c r="X43">
        <f t="shared" si="0"/>
        <v>0</v>
      </c>
    </row>
    <row r="44" spans="1:24" x14ac:dyDescent="0.3">
      <c r="J44">
        <v>43</v>
      </c>
      <c r="K44">
        <v>4</v>
      </c>
      <c r="L44">
        <v>4</v>
      </c>
      <c r="M44" t="s">
        <v>41</v>
      </c>
      <c r="N44" t="s">
        <v>38</v>
      </c>
      <c r="O44">
        <v>94.8</v>
      </c>
      <c r="P44">
        <v>108.3</v>
      </c>
      <c r="Q44">
        <v>647.1</v>
      </c>
      <c r="R44">
        <v>17</v>
      </c>
      <c r="S44">
        <v>16.600000000000001</v>
      </c>
      <c r="T44">
        <v>54</v>
      </c>
      <c r="U44">
        <v>5.4</v>
      </c>
      <c r="V44">
        <v>0</v>
      </c>
      <c r="W44">
        <v>0</v>
      </c>
      <c r="X44">
        <f t="shared" si="0"/>
        <v>0</v>
      </c>
    </row>
    <row r="45" spans="1:24" x14ac:dyDescent="0.3">
      <c r="J45">
        <v>44</v>
      </c>
      <c r="K45">
        <v>4</v>
      </c>
      <c r="L45">
        <v>4</v>
      </c>
      <c r="M45" t="s">
        <v>43</v>
      </c>
      <c r="N45" t="s">
        <v>39</v>
      </c>
      <c r="O45">
        <v>92.5</v>
      </c>
      <c r="P45">
        <v>88</v>
      </c>
      <c r="Q45">
        <v>698.6</v>
      </c>
      <c r="R45">
        <v>7.1</v>
      </c>
      <c r="S45">
        <v>19.600000000000001</v>
      </c>
      <c r="T45">
        <v>48</v>
      </c>
      <c r="U45">
        <v>2.7</v>
      </c>
      <c r="V45">
        <v>0</v>
      </c>
      <c r="W45">
        <v>0</v>
      </c>
      <c r="X45">
        <f t="shared" si="0"/>
        <v>0</v>
      </c>
    </row>
    <row r="46" spans="1:24" x14ac:dyDescent="0.3">
      <c r="J46">
        <v>45</v>
      </c>
      <c r="K46">
        <v>4</v>
      </c>
      <c r="L46">
        <v>4</v>
      </c>
      <c r="M46" t="s">
        <v>43</v>
      </c>
      <c r="N46" t="s">
        <v>44</v>
      </c>
      <c r="O46">
        <v>90.1</v>
      </c>
      <c r="P46">
        <v>82.9</v>
      </c>
      <c r="Q46">
        <v>735.7</v>
      </c>
      <c r="R46">
        <v>6.2</v>
      </c>
      <c r="S46">
        <v>12.9</v>
      </c>
      <c r="T46">
        <v>74</v>
      </c>
      <c r="U46">
        <v>4.9000000000000004</v>
      </c>
      <c r="V46">
        <v>0</v>
      </c>
      <c r="W46">
        <v>0</v>
      </c>
      <c r="X46">
        <f t="shared" si="0"/>
        <v>0</v>
      </c>
    </row>
    <row r="47" spans="1:24" x14ac:dyDescent="0.3">
      <c r="J47">
        <v>46</v>
      </c>
      <c r="K47">
        <v>5</v>
      </c>
      <c r="L47">
        <v>6</v>
      </c>
      <c r="M47" t="s">
        <v>43</v>
      </c>
      <c r="N47" t="s">
        <v>44</v>
      </c>
      <c r="O47">
        <v>94.3</v>
      </c>
      <c r="P47">
        <v>85.1</v>
      </c>
      <c r="Q47">
        <v>692.3</v>
      </c>
      <c r="R47">
        <v>15.9</v>
      </c>
      <c r="S47">
        <v>25.9</v>
      </c>
      <c r="T47">
        <v>24</v>
      </c>
      <c r="U47">
        <v>4</v>
      </c>
      <c r="V47">
        <v>0</v>
      </c>
      <c r="W47">
        <v>0</v>
      </c>
      <c r="X47">
        <f t="shared" si="0"/>
        <v>0</v>
      </c>
    </row>
    <row r="48" spans="1:24" x14ac:dyDescent="0.3">
      <c r="J48">
        <v>47</v>
      </c>
      <c r="K48">
        <v>5</v>
      </c>
      <c r="L48">
        <v>6</v>
      </c>
      <c r="M48" t="s">
        <v>43</v>
      </c>
      <c r="N48" t="s">
        <v>42</v>
      </c>
      <c r="O48">
        <v>90.9</v>
      </c>
      <c r="P48">
        <v>126.5</v>
      </c>
      <c r="Q48">
        <v>686.5</v>
      </c>
      <c r="R48">
        <v>7</v>
      </c>
      <c r="S48">
        <v>14.7</v>
      </c>
      <c r="T48">
        <v>70</v>
      </c>
      <c r="U48">
        <v>3.6</v>
      </c>
      <c r="V48">
        <v>0</v>
      </c>
      <c r="W48">
        <v>0</v>
      </c>
      <c r="X48">
        <f t="shared" si="0"/>
        <v>0</v>
      </c>
    </row>
    <row r="49" spans="10:24" x14ac:dyDescent="0.3">
      <c r="J49">
        <v>48</v>
      </c>
      <c r="K49">
        <v>6</v>
      </c>
      <c r="L49">
        <v>6</v>
      </c>
      <c r="M49" t="s">
        <v>47</v>
      </c>
      <c r="N49" t="s">
        <v>42</v>
      </c>
      <c r="O49">
        <v>94.2</v>
      </c>
      <c r="P49">
        <v>62.3</v>
      </c>
      <c r="Q49">
        <v>442.9</v>
      </c>
      <c r="R49">
        <v>11</v>
      </c>
      <c r="S49">
        <v>23</v>
      </c>
      <c r="T49">
        <v>36</v>
      </c>
      <c r="U49">
        <v>3.1</v>
      </c>
      <c r="V49">
        <v>0</v>
      </c>
      <c r="W49">
        <v>0</v>
      </c>
      <c r="X49">
        <f t="shared" si="0"/>
        <v>0</v>
      </c>
    </row>
    <row r="50" spans="10:24" x14ac:dyDescent="0.3">
      <c r="J50">
        <v>49</v>
      </c>
      <c r="K50">
        <v>4</v>
      </c>
      <c r="L50">
        <v>4</v>
      </c>
      <c r="M50" t="s">
        <v>35</v>
      </c>
      <c r="N50" t="s">
        <v>42</v>
      </c>
      <c r="O50">
        <v>87.2</v>
      </c>
      <c r="P50">
        <v>23.9</v>
      </c>
      <c r="Q50">
        <v>64.7</v>
      </c>
      <c r="R50">
        <v>4.0999999999999996</v>
      </c>
      <c r="S50">
        <v>11.8</v>
      </c>
      <c r="T50">
        <v>35</v>
      </c>
      <c r="U50">
        <v>1.8</v>
      </c>
      <c r="V50">
        <v>0</v>
      </c>
      <c r="W50">
        <v>0</v>
      </c>
      <c r="X50">
        <f t="shared" si="0"/>
        <v>0</v>
      </c>
    </row>
    <row r="51" spans="10:24" x14ac:dyDescent="0.3">
      <c r="J51">
        <v>50</v>
      </c>
      <c r="K51">
        <v>4</v>
      </c>
      <c r="L51">
        <v>4</v>
      </c>
      <c r="M51" t="s">
        <v>35</v>
      </c>
      <c r="N51" t="s">
        <v>42</v>
      </c>
      <c r="O51">
        <v>87.6</v>
      </c>
      <c r="P51">
        <v>52.2</v>
      </c>
      <c r="Q51">
        <v>103.8</v>
      </c>
      <c r="R51">
        <v>5</v>
      </c>
      <c r="S51">
        <v>11</v>
      </c>
      <c r="T51">
        <v>46</v>
      </c>
      <c r="U51">
        <v>5.8</v>
      </c>
      <c r="V51">
        <v>0</v>
      </c>
      <c r="W51">
        <v>0</v>
      </c>
      <c r="X51">
        <f t="shared" si="0"/>
        <v>0</v>
      </c>
    </row>
    <row r="52" spans="10:24" x14ac:dyDescent="0.3">
      <c r="J52">
        <v>51</v>
      </c>
      <c r="K52">
        <v>4</v>
      </c>
      <c r="L52">
        <v>4</v>
      </c>
      <c r="M52" t="s">
        <v>43</v>
      </c>
      <c r="N52" t="s">
        <v>48</v>
      </c>
      <c r="O52">
        <v>92.9</v>
      </c>
      <c r="P52">
        <v>137</v>
      </c>
      <c r="Q52">
        <v>706.4</v>
      </c>
      <c r="R52">
        <v>9.1999999999999993</v>
      </c>
      <c r="S52">
        <v>20.8</v>
      </c>
      <c r="T52">
        <v>17</v>
      </c>
      <c r="U52">
        <v>1.3</v>
      </c>
      <c r="V52">
        <v>0</v>
      </c>
      <c r="W52">
        <v>0</v>
      </c>
      <c r="X52">
        <f t="shared" si="0"/>
        <v>0</v>
      </c>
    </row>
    <row r="53" spans="10:24" x14ac:dyDescent="0.3">
      <c r="J53">
        <v>52</v>
      </c>
      <c r="K53">
        <v>4</v>
      </c>
      <c r="L53">
        <v>3</v>
      </c>
      <c r="M53" t="s">
        <v>41</v>
      </c>
      <c r="N53" t="s">
        <v>40</v>
      </c>
      <c r="O53">
        <v>90.2</v>
      </c>
      <c r="P53">
        <v>99.6</v>
      </c>
      <c r="Q53">
        <v>631.20000000000005</v>
      </c>
      <c r="R53">
        <v>6.3</v>
      </c>
      <c r="S53">
        <v>21.5</v>
      </c>
      <c r="T53">
        <v>34</v>
      </c>
      <c r="U53">
        <v>2.2000000000000002</v>
      </c>
      <c r="V53">
        <v>0</v>
      </c>
      <c r="W53">
        <v>0</v>
      </c>
      <c r="X53">
        <f t="shared" si="0"/>
        <v>0</v>
      </c>
    </row>
    <row r="54" spans="10:24" x14ac:dyDescent="0.3">
      <c r="J54">
        <v>53</v>
      </c>
      <c r="K54">
        <v>4</v>
      </c>
      <c r="L54">
        <v>3</v>
      </c>
      <c r="M54" t="s">
        <v>41</v>
      </c>
      <c r="N54" t="s">
        <v>44</v>
      </c>
      <c r="O54">
        <v>92.1</v>
      </c>
      <c r="P54">
        <v>111.2</v>
      </c>
      <c r="Q54">
        <v>654.1</v>
      </c>
      <c r="R54">
        <v>9.6</v>
      </c>
      <c r="S54">
        <v>20.399999999999999</v>
      </c>
      <c r="T54">
        <v>42</v>
      </c>
      <c r="U54">
        <v>4.9000000000000004</v>
      </c>
      <c r="V54">
        <v>0</v>
      </c>
      <c r="W54">
        <v>0</v>
      </c>
      <c r="X54">
        <f t="shared" si="0"/>
        <v>0</v>
      </c>
    </row>
    <row r="55" spans="10:24" x14ac:dyDescent="0.3">
      <c r="J55">
        <v>54</v>
      </c>
      <c r="K55">
        <v>4</v>
      </c>
      <c r="L55">
        <v>3</v>
      </c>
      <c r="M55" t="s">
        <v>41</v>
      </c>
      <c r="N55" t="s">
        <v>44</v>
      </c>
      <c r="O55">
        <v>92.1</v>
      </c>
      <c r="P55">
        <v>111.2</v>
      </c>
      <c r="Q55">
        <v>654.1</v>
      </c>
      <c r="R55">
        <v>9.6</v>
      </c>
      <c r="S55">
        <v>20.399999999999999</v>
      </c>
      <c r="T55">
        <v>42</v>
      </c>
      <c r="U55">
        <v>4.9000000000000004</v>
      </c>
      <c r="V55">
        <v>0</v>
      </c>
      <c r="W55">
        <v>0</v>
      </c>
      <c r="X55">
        <f t="shared" si="0"/>
        <v>0</v>
      </c>
    </row>
    <row r="56" spans="10:24" x14ac:dyDescent="0.3">
      <c r="J56">
        <v>55</v>
      </c>
      <c r="K56">
        <v>4</v>
      </c>
      <c r="L56">
        <v>3</v>
      </c>
      <c r="M56" t="s">
        <v>41</v>
      </c>
      <c r="N56" t="s">
        <v>48</v>
      </c>
      <c r="O56">
        <v>91.7</v>
      </c>
      <c r="P56">
        <v>114.3</v>
      </c>
      <c r="Q56">
        <v>661.3</v>
      </c>
      <c r="R56">
        <v>6.3</v>
      </c>
      <c r="S56">
        <v>17.600000000000001</v>
      </c>
      <c r="T56">
        <v>45</v>
      </c>
      <c r="U56">
        <v>3.6</v>
      </c>
      <c r="V56">
        <v>0</v>
      </c>
      <c r="W56">
        <v>0</v>
      </c>
      <c r="X56">
        <f t="shared" si="0"/>
        <v>0</v>
      </c>
    </row>
    <row r="57" spans="10:24" x14ac:dyDescent="0.3">
      <c r="J57">
        <v>56</v>
      </c>
      <c r="K57">
        <v>4</v>
      </c>
      <c r="L57">
        <v>3</v>
      </c>
      <c r="M57" t="s">
        <v>43</v>
      </c>
      <c r="N57" t="s">
        <v>48</v>
      </c>
      <c r="O57">
        <v>92.9</v>
      </c>
      <c r="P57">
        <v>137</v>
      </c>
      <c r="Q57">
        <v>706.4</v>
      </c>
      <c r="R57">
        <v>9.1999999999999993</v>
      </c>
      <c r="S57">
        <v>27.7</v>
      </c>
      <c r="T57">
        <v>24</v>
      </c>
      <c r="U57">
        <v>2.2000000000000002</v>
      </c>
      <c r="V57">
        <v>0</v>
      </c>
      <c r="W57">
        <v>0</v>
      </c>
      <c r="X57">
        <f t="shared" si="0"/>
        <v>0</v>
      </c>
    </row>
    <row r="58" spans="10:24" x14ac:dyDescent="0.3">
      <c r="J58">
        <v>57</v>
      </c>
      <c r="K58">
        <v>4</v>
      </c>
      <c r="L58">
        <v>3</v>
      </c>
      <c r="M58" t="s">
        <v>43</v>
      </c>
      <c r="N58" t="s">
        <v>38</v>
      </c>
      <c r="O58">
        <v>90.3</v>
      </c>
      <c r="P58">
        <v>80.7</v>
      </c>
      <c r="Q58">
        <v>730.2</v>
      </c>
      <c r="R58">
        <v>6.3</v>
      </c>
      <c r="S58">
        <v>17.8</v>
      </c>
      <c r="T58">
        <v>63</v>
      </c>
      <c r="U58">
        <v>4.9000000000000004</v>
      </c>
      <c r="V58">
        <v>0</v>
      </c>
      <c r="W58">
        <v>0</v>
      </c>
      <c r="X58">
        <f t="shared" si="0"/>
        <v>0</v>
      </c>
    </row>
    <row r="59" spans="10:24" x14ac:dyDescent="0.3">
      <c r="J59">
        <v>58</v>
      </c>
      <c r="K59">
        <v>4</v>
      </c>
      <c r="L59">
        <v>3</v>
      </c>
      <c r="M59" t="s">
        <v>37</v>
      </c>
      <c r="N59" t="s">
        <v>40</v>
      </c>
      <c r="O59">
        <v>92.6</v>
      </c>
      <c r="P59">
        <v>46.5</v>
      </c>
      <c r="Q59">
        <v>691.8</v>
      </c>
      <c r="R59">
        <v>8.8000000000000007</v>
      </c>
      <c r="S59">
        <v>13.8</v>
      </c>
      <c r="T59">
        <v>50</v>
      </c>
      <c r="U59">
        <v>2.7</v>
      </c>
      <c r="V59">
        <v>0</v>
      </c>
      <c r="W59">
        <v>0</v>
      </c>
      <c r="X59">
        <f t="shared" si="0"/>
        <v>0</v>
      </c>
    </row>
    <row r="60" spans="10:24" x14ac:dyDescent="0.3">
      <c r="J60">
        <v>59</v>
      </c>
      <c r="K60">
        <v>2</v>
      </c>
      <c r="L60">
        <v>2</v>
      </c>
      <c r="M60" t="s">
        <v>49</v>
      </c>
      <c r="N60" t="s">
        <v>42</v>
      </c>
      <c r="O60">
        <v>84</v>
      </c>
      <c r="P60">
        <v>9.3000000000000007</v>
      </c>
      <c r="Q60">
        <v>34</v>
      </c>
      <c r="R60">
        <v>2.1</v>
      </c>
      <c r="S60">
        <v>13.9</v>
      </c>
      <c r="T60">
        <v>40</v>
      </c>
      <c r="U60">
        <v>5.4</v>
      </c>
      <c r="V60">
        <v>0</v>
      </c>
      <c r="W60">
        <v>0</v>
      </c>
      <c r="X60">
        <f t="shared" si="0"/>
        <v>0</v>
      </c>
    </row>
    <row r="61" spans="10:24" x14ac:dyDescent="0.3">
      <c r="J61">
        <v>60</v>
      </c>
      <c r="K61">
        <v>2</v>
      </c>
      <c r="L61">
        <v>2</v>
      </c>
      <c r="M61" t="s">
        <v>49</v>
      </c>
      <c r="N61" t="s">
        <v>36</v>
      </c>
      <c r="O61">
        <v>86.6</v>
      </c>
      <c r="P61">
        <v>13.2</v>
      </c>
      <c r="Q61">
        <v>43</v>
      </c>
      <c r="R61">
        <v>5.3</v>
      </c>
      <c r="S61">
        <v>12.3</v>
      </c>
      <c r="T61">
        <v>51</v>
      </c>
      <c r="U61">
        <v>0.9</v>
      </c>
      <c r="V61">
        <v>0</v>
      </c>
      <c r="W61">
        <v>0</v>
      </c>
      <c r="X61">
        <f t="shared" si="0"/>
        <v>0</v>
      </c>
    </row>
    <row r="62" spans="10:24" x14ac:dyDescent="0.3">
      <c r="J62">
        <v>61</v>
      </c>
      <c r="K62">
        <v>2</v>
      </c>
      <c r="L62">
        <v>2</v>
      </c>
      <c r="M62" t="s">
        <v>35</v>
      </c>
      <c r="N62" t="s">
        <v>40</v>
      </c>
      <c r="O62">
        <v>89.3</v>
      </c>
      <c r="P62">
        <v>51.3</v>
      </c>
      <c r="Q62">
        <v>102.2</v>
      </c>
      <c r="R62">
        <v>9.6</v>
      </c>
      <c r="S62">
        <v>11.5</v>
      </c>
      <c r="T62">
        <v>39</v>
      </c>
      <c r="U62">
        <v>5.8</v>
      </c>
      <c r="V62">
        <v>0</v>
      </c>
      <c r="W62">
        <v>0</v>
      </c>
      <c r="X62">
        <f t="shared" si="0"/>
        <v>0</v>
      </c>
    </row>
    <row r="63" spans="10:24" x14ac:dyDescent="0.3">
      <c r="J63">
        <v>62</v>
      </c>
      <c r="K63">
        <v>2</v>
      </c>
      <c r="L63">
        <v>2</v>
      </c>
      <c r="M63" t="s">
        <v>35</v>
      </c>
      <c r="N63" t="s">
        <v>40</v>
      </c>
      <c r="O63">
        <v>89.3</v>
      </c>
      <c r="P63">
        <v>51.3</v>
      </c>
      <c r="Q63">
        <v>102.2</v>
      </c>
      <c r="R63">
        <v>9.6</v>
      </c>
      <c r="S63">
        <v>5.5</v>
      </c>
      <c r="T63">
        <v>59</v>
      </c>
      <c r="U63">
        <v>6.3</v>
      </c>
      <c r="V63">
        <v>0</v>
      </c>
      <c r="W63">
        <v>0</v>
      </c>
      <c r="X63">
        <f t="shared" si="0"/>
        <v>0</v>
      </c>
    </row>
    <row r="64" spans="10:24" x14ac:dyDescent="0.3">
      <c r="J64">
        <v>63</v>
      </c>
      <c r="K64">
        <v>2</v>
      </c>
      <c r="L64">
        <v>2</v>
      </c>
      <c r="M64" t="s">
        <v>41</v>
      </c>
      <c r="N64" t="s">
        <v>48</v>
      </c>
      <c r="O64">
        <v>93</v>
      </c>
      <c r="P64">
        <v>75.3</v>
      </c>
      <c r="Q64">
        <v>466.6</v>
      </c>
      <c r="R64">
        <v>7.7</v>
      </c>
      <c r="S64">
        <v>18.8</v>
      </c>
      <c r="T64">
        <v>35</v>
      </c>
      <c r="U64">
        <v>4.9000000000000004</v>
      </c>
      <c r="V64">
        <v>0</v>
      </c>
      <c r="W64">
        <v>0</v>
      </c>
      <c r="X64">
        <f t="shared" si="0"/>
        <v>0</v>
      </c>
    </row>
    <row r="65" spans="10:24" x14ac:dyDescent="0.3">
      <c r="J65">
        <v>64</v>
      </c>
      <c r="K65">
        <v>2</v>
      </c>
      <c r="L65">
        <v>2</v>
      </c>
      <c r="M65" t="s">
        <v>41</v>
      </c>
      <c r="N65" t="s">
        <v>40</v>
      </c>
      <c r="O65">
        <v>90.2</v>
      </c>
      <c r="P65">
        <v>99.6</v>
      </c>
      <c r="Q65">
        <v>631.20000000000005</v>
      </c>
      <c r="R65">
        <v>6.3</v>
      </c>
      <c r="S65">
        <v>20.8</v>
      </c>
      <c r="T65">
        <v>33</v>
      </c>
      <c r="U65">
        <v>2.7</v>
      </c>
      <c r="V65">
        <v>0</v>
      </c>
      <c r="W65">
        <v>0</v>
      </c>
      <c r="X65">
        <f t="shared" si="0"/>
        <v>0</v>
      </c>
    </row>
    <row r="66" spans="10:24" x14ac:dyDescent="0.3">
      <c r="J66">
        <v>65</v>
      </c>
      <c r="K66">
        <v>2</v>
      </c>
      <c r="L66">
        <v>2</v>
      </c>
      <c r="M66" t="s">
        <v>41</v>
      </c>
      <c r="N66" t="s">
        <v>42</v>
      </c>
      <c r="O66">
        <v>91.1</v>
      </c>
      <c r="P66">
        <v>103.2</v>
      </c>
      <c r="Q66">
        <v>638.79999999999995</v>
      </c>
      <c r="R66">
        <v>5.8</v>
      </c>
      <c r="S66">
        <v>23.1</v>
      </c>
      <c r="T66">
        <v>31</v>
      </c>
      <c r="U66">
        <v>3.1</v>
      </c>
      <c r="V66">
        <v>0</v>
      </c>
      <c r="W66">
        <v>0</v>
      </c>
      <c r="X66">
        <f t="shared" si="0"/>
        <v>0</v>
      </c>
    </row>
    <row r="67" spans="10:24" x14ac:dyDescent="0.3">
      <c r="J67">
        <v>66</v>
      </c>
      <c r="K67">
        <v>2</v>
      </c>
      <c r="L67">
        <v>2</v>
      </c>
      <c r="M67" t="s">
        <v>41</v>
      </c>
      <c r="N67" t="s">
        <v>48</v>
      </c>
      <c r="O67">
        <v>91.7</v>
      </c>
      <c r="P67">
        <v>114.3</v>
      </c>
      <c r="Q67">
        <v>661.3</v>
      </c>
      <c r="R67">
        <v>6.3</v>
      </c>
      <c r="S67">
        <v>18.600000000000001</v>
      </c>
      <c r="T67">
        <v>44</v>
      </c>
      <c r="U67">
        <v>4.5</v>
      </c>
      <c r="V67">
        <v>0</v>
      </c>
      <c r="W67">
        <v>0</v>
      </c>
      <c r="X67">
        <f t="shared" ref="X67:X130" si="1">IF(W67&gt;0,1,0)</f>
        <v>0</v>
      </c>
    </row>
    <row r="68" spans="10:24" x14ac:dyDescent="0.3">
      <c r="J68">
        <v>67</v>
      </c>
      <c r="K68">
        <v>2</v>
      </c>
      <c r="L68">
        <v>2</v>
      </c>
      <c r="M68" t="s">
        <v>43</v>
      </c>
      <c r="N68" t="s">
        <v>36</v>
      </c>
      <c r="O68">
        <v>92.4</v>
      </c>
      <c r="P68">
        <v>117.9</v>
      </c>
      <c r="Q68">
        <v>668</v>
      </c>
      <c r="R68">
        <v>12.2</v>
      </c>
      <c r="S68">
        <v>23</v>
      </c>
      <c r="T68">
        <v>37</v>
      </c>
      <c r="U68">
        <v>4.5</v>
      </c>
      <c r="V68">
        <v>0</v>
      </c>
      <c r="W68">
        <v>0</v>
      </c>
      <c r="X68">
        <f t="shared" si="1"/>
        <v>0</v>
      </c>
    </row>
    <row r="69" spans="10:24" x14ac:dyDescent="0.3">
      <c r="J69">
        <v>68</v>
      </c>
      <c r="K69">
        <v>2</v>
      </c>
      <c r="L69">
        <v>2</v>
      </c>
      <c r="M69" t="s">
        <v>43</v>
      </c>
      <c r="N69" t="s">
        <v>36</v>
      </c>
      <c r="O69">
        <v>92.4</v>
      </c>
      <c r="P69">
        <v>117.9</v>
      </c>
      <c r="Q69">
        <v>668</v>
      </c>
      <c r="R69">
        <v>12.2</v>
      </c>
      <c r="S69">
        <v>19.600000000000001</v>
      </c>
      <c r="T69">
        <v>33</v>
      </c>
      <c r="U69">
        <v>5.4</v>
      </c>
      <c r="V69">
        <v>0</v>
      </c>
      <c r="W69">
        <v>0</v>
      </c>
      <c r="X69">
        <f t="shared" si="1"/>
        <v>0</v>
      </c>
    </row>
    <row r="70" spans="10:24" x14ac:dyDescent="0.3">
      <c r="J70">
        <v>69</v>
      </c>
      <c r="K70">
        <v>2</v>
      </c>
      <c r="L70">
        <v>2</v>
      </c>
      <c r="M70" t="s">
        <v>43</v>
      </c>
      <c r="N70" t="s">
        <v>36</v>
      </c>
      <c r="O70">
        <v>92.4</v>
      </c>
      <c r="P70">
        <v>117.9</v>
      </c>
      <c r="Q70">
        <v>668</v>
      </c>
      <c r="R70">
        <v>12.2</v>
      </c>
      <c r="S70">
        <v>19.600000000000001</v>
      </c>
      <c r="T70">
        <v>33</v>
      </c>
      <c r="U70">
        <v>6.3</v>
      </c>
      <c r="V70">
        <v>0</v>
      </c>
      <c r="W70">
        <v>0</v>
      </c>
      <c r="X70">
        <f t="shared" si="1"/>
        <v>0</v>
      </c>
    </row>
    <row r="71" spans="10:24" x14ac:dyDescent="0.3">
      <c r="J71">
        <v>70</v>
      </c>
      <c r="K71">
        <v>4</v>
      </c>
      <c r="L71">
        <v>5</v>
      </c>
      <c r="M71" t="s">
        <v>35</v>
      </c>
      <c r="N71" t="s">
        <v>36</v>
      </c>
      <c r="O71">
        <v>91.7</v>
      </c>
      <c r="P71">
        <v>33.299999999999997</v>
      </c>
      <c r="Q71">
        <v>77.5</v>
      </c>
      <c r="R71">
        <v>9</v>
      </c>
      <c r="S71">
        <v>17.2</v>
      </c>
      <c r="T71">
        <v>26</v>
      </c>
      <c r="U71">
        <v>4.5</v>
      </c>
      <c r="V71">
        <v>0</v>
      </c>
      <c r="W71">
        <v>0</v>
      </c>
      <c r="X71">
        <f t="shared" si="1"/>
        <v>0</v>
      </c>
    </row>
    <row r="72" spans="10:24" x14ac:dyDescent="0.3">
      <c r="J72">
        <v>71</v>
      </c>
      <c r="K72">
        <v>4</v>
      </c>
      <c r="L72">
        <v>5</v>
      </c>
      <c r="M72" t="s">
        <v>35</v>
      </c>
      <c r="N72" t="s">
        <v>36</v>
      </c>
      <c r="O72">
        <v>91.2</v>
      </c>
      <c r="P72">
        <v>48.3</v>
      </c>
      <c r="Q72">
        <v>97.8</v>
      </c>
      <c r="R72">
        <v>12.5</v>
      </c>
      <c r="S72">
        <v>15.8</v>
      </c>
      <c r="T72">
        <v>27</v>
      </c>
      <c r="U72">
        <v>7.6</v>
      </c>
      <c r="V72">
        <v>0</v>
      </c>
      <c r="W72">
        <v>0</v>
      </c>
      <c r="X72">
        <f t="shared" si="1"/>
        <v>0</v>
      </c>
    </row>
    <row r="73" spans="10:24" x14ac:dyDescent="0.3">
      <c r="J73">
        <v>72</v>
      </c>
      <c r="K73">
        <v>4</v>
      </c>
      <c r="L73">
        <v>5</v>
      </c>
      <c r="M73" t="s">
        <v>43</v>
      </c>
      <c r="N73" t="s">
        <v>36</v>
      </c>
      <c r="O73">
        <v>94.3</v>
      </c>
      <c r="P73">
        <v>85.1</v>
      </c>
      <c r="Q73">
        <v>692.3</v>
      </c>
      <c r="R73">
        <v>15.9</v>
      </c>
      <c r="S73">
        <v>17.7</v>
      </c>
      <c r="T73">
        <v>37</v>
      </c>
      <c r="U73">
        <v>3.6</v>
      </c>
      <c r="V73">
        <v>0</v>
      </c>
      <c r="W73">
        <v>0</v>
      </c>
      <c r="X73">
        <f t="shared" si="1"/>
        <v>0</v>
      </c>
    </row>
    <row r="74" spans="10:24" x14ac:dyDescent="0.3">
      <c r="J74">
        <v>73</v>
      </c>
      <c r="K74">
        <v>5</v>
      </c>
      <c r="L74">
        <v>4</v>
      </c>
      <c r="M74" t="s">
        <v>35</v>
      </c>
      <c r="N74" t="s">
        <v>36</v>
      </c>
      <c r="O74">
        <v>91.7</v>
      </c>
      <c r="P74">
        <v>33.299999999999997</v>
      </c>
      <c r="Q74">
        <v>77.5</v>
      </c>
      <c r="R74">
        <v>9</v>
      </c>
      <c r="S74">
        <v>15.6</v>
      </c>
      <c r="T74">
        <v>25</v>
      </c>
      <c r="U74">
        <v>6.3</v>
      </c>
      <c r="V74">
        <v>0</v>
      </c>
      <c r="W74">
        <v>0</v>
      </c>
      <c r="X74">
        <f t="shared" si="1"/>
        <v>0</v>
      </c>
    </row>
    <row r="75" spans="10:24" x14ac:dyDescent="0.3">
      <c r="J75">
        <v>74</v>
      </c>
      <c r="K75">
        <v>5</v>
      </c>
      <c r="L75">
        <v>4</v>
      </c>
      <c r="M75" t="s">
        <v>41</v>
      </c>
      <c r="N75" t="s">
        <v>38</v>
      </c>
      <c r="O75">
        <v>88.8</v>
      </c>
      <c r="P75">
        <v>147.30000000000001</v>
      </c>
      <c r="Q75">
        <v>614.5</v>
      </c>
      <c r="R75">
        <v>9</v>
      </c>
      <c r="S75">
        <v>17.3</v>
      </c>
      <c r="T75">
        <v>43</v>
      </c>
      <c r="U75">
        <v>4.5</v>
      </c>
      <c r="V75">
        <v>0</v>
      </c>
      <c r="W75">
        <v>0</v>
      </c>
      <c r="X75">
        <f t="shared" si="1"/>
        <v>0</v>
      </c>
    </row>
    <row r="76" spans="10:24" x14ac:dyDescent="0.3">
      <c r="J76">
        <v>75</v>
      </c>
      <c r="K76">
        <v>5</v>
      </c>
      <c r="L76">
        <v>4</v>
      </c>
      <c r="M76" t="s">
        <v>43</v>
      </c>
      <c r="N76" t="s">
        <v>36</v>
      </c>
      <c r="O76">
        <v>93.3</v>
      </c>
      <c r="P76">
        <v>141.19999999999999</v>
      </c>
      <c r="Q76">
        <v>713.9</v>
      </c>
      <c r="R76">
        <v>13.9</v>
      </c>
      <c r="S76">
        <v>27.6</v>
      </c>
      <c r="T76">
        <v>30</v>
      </c>
      <c r="U76">
        <v>1.3</v>
      </c>
      <c r="V76">
        <v>0</v>
      </c>
      <c r="W76">
        <v>0</v>
      </c>
      <c r="X76">
        <f t="shared" si="1"/>
        <v>0</v>
      </c>
    </row>
    <row r="77" spans="10:24" x14ac:dyDescent="0.3">
      <c r="J77">
        <v>76</v>
      </c>
      <c r="K77">
        <v>9</v>
      </c>
      <c r="L77">
        <v>9</v>
      </c>
      <c r="M77" t="s">
        <v>49</v>
      </c>
      <c r="N77" t="s">
        <v>48</v>
      </c>
      <c r="O77">
        <v>84.2</v>
      </c>
      <c r="P77">
        <v>6.8</v>
      </c>
      <c r="Q77">
        <v>26.6</v>
      </c>
      <c r="R77">
        <v>7.7</v>
      </c>
      <c r="S77">
        <v>6.7</v>
      </c>
      <c r="T77">
        <v>79</v>
      </c>
      <c r="U77">
        <v>3.1</v>
      </c>
      <c r="V77">
        <v>0</v>
      </c>
      <c r="W77">
        <v>0</v>
      </c>
      <c r="X77">
        <f t="shared" si="1"/>
        <v>0</v>
      </c>
    </row>
    <row r="78" spans="10:24" x14ac:dyDescent="0.3">
      <c r="J78">
        <v>77</v>
      </c>
      <c r="K78">
        <v>9</v>
      </c>
      <c r="L78">
        <v>9</v>
      </c>
      <c r="M78" t="s">
        <v>49</v>
      </c>
      <c r="N78" t="s">
        <v>36</v>
      </c>
      <c r="O78">
        <v>86.6</v>
      </c>
      <c r="P78">
        <v>13.2</v>
      </c>
      <c r="Q78">
        <v>43</v>
      </c>
      <c r="R78">
        <v>5.3</v>
      </c>
      <c r="S78">
        <v>15.7</v>
      </c>
      <c r="T78">
        <v>43</v>
      </c>
      <c r="U78">
        <v>3.1</v>
      </c>
      <c r="V78">
        <v>0</v>
      </c>
      <c r="W78">
        <v>0</v>
      </c>
      <c r="X78">
        <f t="shared" si="1"/>
        <v>0</v>
      </c>
    </row>
    <row r="79" spans="10:24" x14ac:dyDescent="0.3">
      <c r="J79">
        <v>78</v>
      </c>
      <c r="K79">
        <v>1</v>
      </c>
      <c r="L79">
        <v>3</v>
      </c>
      <c r="M79" t="s">
        <v>35</v>
      </c>
      <c r="N79" t="s">
        <v>42</v>
      </c>
      <c r="O79">
        <v>87.6</v>
      </c>
      <c r="P79">
        <v>52.2</v>
      </c>
      <c r="Q79">
        <v>103.8</v>
      </c>
      <c r="R79">
        <v>5</v>
      </c>
      <c r="S79">
        <v>8.3000000000000007</v>
      </c>
      <c r="T79">
        <v>72</v>
      </c>
      <c r="U79">
        <v>3.1</v>
      </c>
      <c r="V79">
        <v>0</v>
      </c>
      <c r="W79">
        <v>0</v>
      </c>
      <c r="X79">
        <f t="shared" si="1"/>
        <v>0</v>
      </c>
    </row>
    <row r="80" spans="10:24" x14ac:dyDescent="0.3">
      <c r="J80">
        <v>79</v>
      </c>
      <c r="K80">
        <v>1</v>
      </c>
      <c r="L80">
        <v>2</v>
      </c>
      <c r="M80" t="s">
        <v>41</v>
      </c>
      <c r="N80" t="s">
        <v>36</v>
      </c>
      <c r="O80">
        <v>90.1</v>
      </c>
      <c r="P80">
        <v>108</v>
      </c>
      <c r="Q80">
        <v>529.79999999999995</v>
      </c>
      <c r="R80">
        <v>12.5</v>
      </c>
      <c r="S80">
        <v>14.7</v>
      </c>
      <c r="T80">
        <v>66</v>
      </c>
      <c r="U80">
        <v>2.7</v>
      </c>
      <c r="V80">
        <v>0</v>
      </c>
      <c r="W80">
        <v>0</v>
      </c>
      <c r="X80">
        <f t="shared" si="1"/>
        <v>0</v>
      </c>
    </row>
    <row r="81" spans="10:24" x14ac:dyDescent="0.3">
      <c r="J81">
        <v>80</v>
      </c>
      <c r="K81">
        <v>1</v>
      </c>
      <c r="L81">
        <v>2</v>
      </c>
      <c r="M81" t="s">
        <v>41</v>
      </c>
      <c r="N81" t="s">
        <v>38</v>
      </c>
      <c r="O81">
        <v>91</v>
      </c>
      <c r="P81">
        <v>121.2</v>
      </c>
      <c r="Q81">
        <v>561.6</v>
      </c>
      <c r="R81">
        <v>7</v>
      </c>
      <c r="S81">
        <v>21.6</v>
      </c>
      <c r="T81">
        <v>19</v>
      </c>
      <c r="U81">
        <v>6.7</v>
      </c>
      <c r="V81">
        <v>0</v>
      </c>
      <c r="W81">
        <v>0</v>
      </c>
      <c r="X81">
        <f t="shared" si="1"/>
        <v>0</v>
      </c>
    </row>
    <row r="82" spans="10:24" x14ac:dyDescent="0.3">
      <c r="J82">
        <v>81</v>
      </c>
      <c r="K82">
        <v>1</v>
      </c>
      <c r="L82">
        <v>2</v>
      </c>
      <c r="M82" t="s">
        <v>41</v>
      </c>
      <c r="N82" t="s">
        <v>40</v>
      </c>
      <c r="O82">
        <v>91.4</v>
      </c>
      <c r="P82">
        <v>142.4</v>
      </c>
      <c r="Q82">
        <v>601.4</v>
      </c>
      <c r="R82">
        <v>10.6</v>
      </c>
      <c r="S82">
        <v>19.5</v>
      </c>
      <c r="T82">
        <v>39</v>
      </c>
      <c r="U82">
        <v>6.3</v>
      </c>
      <c r="V82">
        <v>0</v>
      </c>
      <c r="W82">
        <v>0</v>
      </c>
      <c r="X82">
        <f t="shared" si="1"/>
        <v>0</v>
      </c>
    </row>
    <row r="83" spans="10:24" x14ac:dyDescent="0.3">
      <c r="J83">
        <v>82</v>
      </c>
      <c r="K83">
        <v>1</v>
      </c>
      <c r="L83">
        <v>2</v>
      </c>
      <c r="M83" t="s">
        <v>41</v>
      </c>
      <c r="N83" t="s">
        <v>40</v>
      </c>
      <c r="O83">
        <v>90.2</v>
      </c>
      <c r="P83">
        <v>99.6</v>
      </c>
      <c r="Q83">
        <v>631.20000000000005</v>
      </c>
      <c r="R83">
        <v>6.3</v>
      </c>
      <c r="S83">
        <v>17.899999999999999</v>
      </c>
      <c r="T83">
        <v>44</v>
      </c>
      <c r="U83">
        <v>2.2000000000000002</v>
      </c>
      <c r="V83">
        <v>0</v>
      </c>
      <c r="W83">
        <v>0</v>
      </c>
      <c r="X83">
        <f t="shared" si="1"/>
        <v>0</v>
      </c>
    </row>
    <row r="84" spans="10:24" x14ac:dyDescent="0.3">
      <c r="J84">
        <v>83</v>
      </c>
      <c r="K84">
        <v>1</v>
      </c>
      <c r="L84">
        <v>2</v>
      </c>
      <c r="M84" t="s">
        <v>41</v>
      </c>
      <c r="N84" t="s">
        <v>38</v>
      </c>
      <c r="O84">
        <v>94.8</v>
      </c>
      <c r="P84">
        <v>108.3</v>
      </c>
      <c r="Q84">
        <v>647.1</v>
      </c>
      <c r="R84">
        <v>17</v>
      </c>
      <c r="S84">
        <v>18.600000000000001</v>
      </c>
      <c r="T84">
        <v>51</v>
      </c>
      <c r="U84">
        <v>4.5</v>
      </c>
      <c r="V84">
        <v>0</v>
      </c>
      <c r="W84">
        <v>0</v>
      </c>
      <c r="X84">
        <f t="shared" si="1"/>
        <v>0</v>
      </c>
    </row>
    <row r="85" spans="10:24" x14ac:dyDescent="0.3">
      <c r="J85">
        <v>84</v>
      </c>
      <c r="K85">
        <v>1</v>
      </c>
      <c r="L85">
        <v>2</v>
      </c>
      <c r="M85" t="s">
        <v>41</v>
      </c>
      <c r="N85" t="s">
        <v>44</v>
      </c>
      <c r="O85">
        <v>92.1</v>
      </c>
      <c r="P85">
        <v>111.2</v>
      </c>
      <c r="Q85">
        <v>654.1</v>
      </c>
      <c r="R85">
        <v>9.6</v>
      </c>
      <c r="S85">
        <v>16.600000000000001</v>
      </c>
      <c r="T85">
        <v>47</v>
      </c>
      <c r="U85">
        <v>0.9</v>
      </c>
      <c r="V85">
        <v>0</v>
      </c>
      <c r="W85">
        <v>0</v>
      </c>
      <c r="X85">
        <f t="shared" si="1"/>
        <v>0</v>
      </c>
    </row>
    <row r="86" spans="10:24" x14ac:dyDescent="0.3">
      <c r="J86">
        <v>85</v>
      </c>
      <c r="K86">
        <v>1</v>
      </c>
      <c r="L86">
        <v>2</v>
      </c>
      <c r="M86" t="s">
        <v>41</v>
      </c>
      <c r="N86" t="s">
        <v>48</v>
      </c>
      <c r="O86">
        <v>91.7</v>
      </c>
      <c r="P86">
        <v>114.3</v>
      </c>
      <c r="Q86">
        <v>661.3</v>
      </c>
      <c r="R86">
        <v>6.3</v>
      </c>
      <c r="S86">
        <v>20.2</v>
      </c>
      <c r="T86">
        <v>45</v>
      </c>
      <c r="U86">
        <v>3.6</v>
      </c>
      <c r="V86">
        <v>0</v>
      </c>
      <c r="W86">
        <v>0</v>
      </c>
      <c r="X86">
        <f t="shared" si="1"/>
        <v>0</v>
      </c>
    </row>
    <row r="87" spans="10:24" x14ac:dyDescent="0.3">
      <c r="J87">
        <v>86</v>
      </c>
      <c r="K87">
        <v>1</v>
      </c>
      <c r="L87">
        <v>2</v>
      </c>
      <c r="M87" t="s">
        <v>43</v>
      </c>
      <c r="N87" t="s">
        <v>48</v>
      </c>
      <c r="O87">
        <v>92.9</v>
      </c>
      <c r="P87">
        <v>137</v>
      </c>
      <c r="Q87">
        <v>706.4</v>
      </c>
      <c r="R87">
        <v>9.1999999999999993</v>
      </c>
      <c r="S87">
        <v>21.5</v>
      </c>
      <c r="T87">
        <v>15</v>
      </c>
      <c r="U87">
        <v>0.9</v>
      </c>
      <c r="V87">
        <v>0</v>
      </c>
      <c r="W87">
        <v>0</v>
      </c>
      <c r="X87">
        <f t="shared" si="1"/>
        <v>0</v>
      </c>
    </row>
    <row r="88" spans="10:24" x14ac:dyDescent="0.3">
      <c r="J88">
        <v>87</v>
      </c>
      <c r="K88">
        <v>1</v>
      </c>
      <c r="L88">
        <v>2</v>
      </c>
      <c r="M88" t="s">
        <v>43</v>
      </c>
      <c r="N88" t="s">
        <v>48</v>
      </c>
      <c r="O88">
        <v>92.9</v>
      </c>
      <c r="P88">
        <v>137</v>
      </c>
      <c r="Q88">
        <v>706.4</v>
      </c>
      <c r="R88">
        <v>9.1999999999999993</v>
      </c>
      <c r="S88">
        <v>25.4</v>
      </c>
      <c r="T88">
        <v>27</v>
      </c>
      <c r="U88">
        <v>2.2000000000000002</v>
      </c>
      <c r="V88">
        <v>0</v>
      </c>
      <c r="W88">
        <v>0</v>
      </c>
      <c r="X88">
        <f t="shared" si="1"/>
        <v>0</v>
      </c>
    </row>
    <row r="89" spans="10:24" x14ac:dyDescent="0.3">
      <c r="J89">
        <v>88</v>
      </c>
      <c r="K89">
        <v>1</v>
      </c>
      <c r="L89">
        <v>2</v>
      </c>
      <c r="M89" t="s">
        <v>43</v>
      </c>
      <c r="N89" t="s">
        <v>48</v>
      </c>
      <c r="O89">
        <v>92.9</v>
      </c>
      <c r="P89">
        <v>137</v>
      </c>
      <c r="Q89">
        <v>706.4</v>
      </c>
      <c r="R89">
        <v>9.1999999999999993</v>
      </c>
      <c r="S89">
        <v>22.4</v>
      </c>
      <c r="T89">
        <v>34</v>
      </c>
      <c r="U89">
        <v>2.2000000000000002</v>
      </c>
      <c r="V89">
        <v>0</v>
      </c>
      <c r="W89">
        <v>0</v>
      </c>
      <c r="X89">
        <f t="shared" si="1"/>
        <v>0</v>
      </c>
    </row>
    <row r="90" spans="10:24" x14ac:dyDescent="0.3">
      <c r="J90">
        <v>89</v>
      </c>
      <c r="K90">
        <v>1</v>
      </c>
      <c r="L90">
        <v>2</v>
      </c>
      <c r="M90" t="s">
        <v>43</v>
      </c>
      <c r="N90" t="s">
        <v>40</v>
      </c>
      <c r="O90">
        <v>93.5</v>
      </c>
      <c r="P90">
        <v>149.30000000000001</v>
      </c>
      <c r="Q90">
        <v>728.6</v>
      </c>
      <c r="R90">
        <v>8.1</v>
      </c>
      <c r="S90">
        <v>25.3</v>
      </c>
      <c r="T90">
        <v>36</v>
      </c>
      <c r="U90">
        <v>3.6</v>
      </c>
      <c r="V90">
        <v>0</v>
      </c>
      <c r="W90">
        <v>0</v>
      </c>
      <c r="X90">
        <f t="shared" si="1"/>
        <v>0</v>
      </c>
    </row>
    <row r="91" spans="10:24" x14ac:dyDescent="0.3">
      <c r="J91">
        <v>90</v>
      </c>
      <c r="K91">
        <v>6</v>
      </c>
      <c r="L91">
        <v>5</v>
      </c>
      <c r="M91" t="s">
        <v>35</v>
      </c>
      <c r="N91" t="s">
        <v>39</v>
      </c>
      <c r="O91">
        <v>91.7</v>
      </c>
      <c r="P91">
        <v>35.799999999999997</v>
      </c>
      <c r="Q91">
        <v>80.8</v>
      </c>
      <c r="R91">
        <v>7.8</v>
      </c>
      <c r="S91">
        <v>17.399999999999999</v>
      </c>
      <c r="T91">
        <v>25</v>
      </c>
      <c r="U91">
        <v>4.9000000000000004</v>
      </c>
      <c r="V91">
        <v>0</v>
      </c>
      <c r="W91">
        <v>0</v>
      </c>
      <c r="X91">
        <f t="shared" si="1"/>
        <v>0</v>
      </c>
    </row>
    <row r="92" spans="10:24" x14ac:dyDescent="0.3">
      <c r="J92">
        <v>91</v>
      </c>
      <c r="K92">
        <v>6</v>
      </c>
      <c r="L92">
        <v>5</v>
      </c>
      <c r="M92" t="s">
        <v>41</v>
      </c>
      <c r="N92" t="s">
        <v>39</v>
      </c>
      <c r="O92">
        <v>90.2</v>
      </c>
      <c r="P92">
        <v>96.9</v>
      </c>
      <c r="Q92">
        <v>624.20000000000005</v>
      </c>
      <c r="R92">
        <v>8.9</v>
      </c>
      <c r="S92">
        <v>14.7</v>
      </c>
      <c r="T92">
        <v>59</v>
      </c>
      <c r="U92">
        <v>5.8</v>
      </c>
      <c r="V92">
        <v>0</v>
      </c>
      <c r="W92">
        <v>0</v>
      </c>
      <c r="X92">
        <f t="shared" si="1"/>
        <v>0</v>
      </c>
    </row>
    <row r="93" spans="10:24" x14ac:dyDescent="0.3">
      <c r="J93">
        <v>92</v>
      </c>
      <c r="K93">
        <v>8</v>
      </c>
      <c r="L93">
        <v>6</v>
      </c>
      <c r="M93" t="s">
        <v>35</v>
      </c>
      <c r="N93" t="s">
        <v>36</v>
      </c>
      <c r="O93">
        <v>91.7</v>
      </c>
      <c r="P93">
        <v>35.799999999999997</v>
      </c>
      <c r="Q93">
        <v>80.8</v>
      </c>
      <c r="R93">
        <v>7.8</v>
      </c>
      <c r="S93">
        <v>17.399999999999999</v>
      </c>
      <c r="T93">
        <v>24</v>
      </c>
      <c r="U93">
        <v>5.4</v>
      </c>
      <c r="V93">
        <v>0</v>
      </c>
      <c r="W93">
        <v>0</v>
      </c>
      <c r="X93">
        <f t="shared" si="1"/>
        <v>0</v>
      </c>
    </row>
    <row r="94" spans="10:24" x14ac:dyDescent="0.3">
      <c r="J94">
        <v>93</v>
      </c>
      <c r="K94">
        <v>8</v>
      </c>
      <c r="L94">
        <v>6</v>
      </c>
      <c r="M94" t="s">
        <v>41</v>
      </c>
      <c r="N94" t="s">
        <v>40</v>
      </c>
      <c r="O94">
        <v>92.3</v>
      </c>
      <c r="P94">
        <v>85.3</v>
      </c>
      <c r="Q94">
        <v>488</v>
      </c>
      <c r="R94">
        <v>14.7</v>
      </c>
      <c r="S94">
        <v>20.8</v>
      </c>
      <c r="T94">
        <v>32</v>
      </c>
      <c r="U94">
        <v>6.3</v>
      </c>
      <c r="V94">
        <v>0</v>
      </c>
      <c r="W94">
        <v>0</v>
      </c>
      <c r="X94">
        <f t="shared" si="1"/>
        <v>0</v>
      </c>
    </row>
    <row r="95" spans="10:24" x14ac:dyDescent="0.3">
      <c r="J95">
        <v>94</v>
      </c>
      <c r="K95">
        <v>8</v>
      </c>
      <c r="L95">
        <v>6</v>
      </c>
      <c r="M95" t="s">
        <v>41</v>
      </c>
      <c r="N95" t="s">
        <v>40</v>
      </c>
      <c r="O95">
        <v>91.4</v>
      </c>
      <c r="P95">
        <v>142.4</v>
      </c>
      <c r="Q95">
        <v>601.4</v>
      </c>
      <c r="R95">
        <v>10.6</v>
      </c>
      <c r="S95">
        <v>18.2</v>
      </c>
      <c r="T95">
        <v>43</v>
      </c>
      <c r="U95">
        <v>4.9000000000000004</v>
      </c>
      <c r="V95">
        <v>0</v>
      </c>
      <c r="W95">
        <v>0</v>
      </c>
      <c r="X95">
        <f t="shared" si="1"/>
        <v>0</v>
      </c>
    </row>
    <row r="96" spans="10:24" x14ac:dyDescent="0.3">
      <c r="J96">
        <v>95</v>
      </c>
      <c r="K96">
        <v>8</v>
      </c>
      <c r="L96">
        <v>6</v>
      </c>
      <c r="M96" t="s">
        <v>41</v>
      </c>
      <c r="N96" t="s">
        <v>42</v>
      </c>
      <c r="O96">
        <v>91.1</v>
      </c>
      <c r="P96">
        <v>103.2</v>
      </c>
      <c r="Q96">
        <v>638.79999999999995</v>
      </c>
      <c r="R96">
        <v>5.8</v>
      </c>
      <c r="S96">
        <v>23.4</v>
      </c>
      <c r="T96">
        <v>22</v>
      </c>
      <c r="U96">
        <v>2.7</v>
      </c>
      <c r="V96">
        <v>0</v>
      </c>
      <c r="W96">
        <v>0</v>
      </c>
      <c r="X96">
        <f t="shared" si="1"/>
        <v>0</v>
      </c>
    </row>
    <row r="97" spans="10:24" x14ac:dyDescent="0.3">
      <c r="J97">
        <v>96</v>
      </c>
      <c r="K97">
        <v>4</v>
      </c>
      <c r="L97">
        <v>4</v>
      </c>
      <c r="M97" t="s">
        <v>43</v>
      </c>
      <c r="N97" t="s">
        <v>40</v>
      </c>
      <c r="O97">
        <v>89.7</v>
      </c>
      <c r="P97">
        <v>90</v>
      </c>
      <c r="Q97">
        <v>704.4</v>
      </c>
      <c r="R97">
        <v>4.8</v>
      </c>
      <c r="S97">
        <v>17.8</v>
      </c>
      <c r="T97">
        <v>64</v>
      </c>
      <c r="U97">
        <v>1.3</v>
      </c>
      <c r="V97">
        <v>0</v>
      </c>
      <c r="W97">
        <v>0</v>
      </c>
      <c r="X97">
        <f t="shared" si="1"/>
        <v>0</v>
      </c>
    </row>
    <row r="98" spans="10:24" x14ac:dyDescent="0.3">
      <c r="J98">
        <v>97</v>
      </c>
      <c r="K98">
        <v>3</v>
      </c>
      <c r="L98">
        <v>4</v>
      </c>
      <c r="M98" t="s">
        <v>49</v>
      </c>
      <c r="N98" t="s">
        <v>39</v>
      </c>
      <c r="O98">
        <v>83.9</v>
      </c>
      <c r="P98">
        <v>8</v>
      </c>
      <c r="Q98">
        <v>30.2</v>
      </c>
      <c r="R98">
        <v>2.6</v>
      </c>
      <c r="S98">
        <v>12.7</v>
      </c>
      <c r="T98">
        <v>48</v>
      </c>
      <c r="U98">
        <v>1.8</v>
      </c>
      <c r="V98">
        <v>0</v>
      </c>
      <c r="W98">
        <v>0</v>
      </c>
      <c r="X98">
        <f t="shared" si="1"/>
        <v>0</v>
      </c>
    </row>
    <row r="99" spans="10:24" x14ac:dyDescent="0.3">
      <c r="J99">
        <v>98</v>
      </c>
      <c r="K99">
        <v>3</v>
      </c>
      <c r="L99">
        <v>4</v>
      </c>
      <c r="M99" t="s">
        <v>35</v>
      </c>
      <c r="N99" t="s">
        <v>39</v>
      </c>
      <c r="O99">
        <v>69</v>
      </c>
      <c r="P99">
        <v>2.4</v>
      </c>
      <c r="Q99">
        <v>15.5</v>
      </c>
      <c r="R99">
        <v>0.7</v>
      </c>
      <c r="S99">
        <v>17.399999999999999</v>
      </c>
      <c r="T99">
        <v>24</v>
      </c>
      <c r="U99">
        <v>5.4</v>
      </c>
      <c r="V99">
        <v>0</v>
      </c>
      <c r="W99">
        <v>0</v>
      </c>
      <c r="X99">
        <f t="shared" si="1"/>
        <v>0</v>
      </c>
    </row>
    <row r="100" spans="10:24" x14ac:dyDescent="0.3">
      <c r="J100">
        <v>99</v>
      </c>
      <c r="K100">
        <v>3</v>
      </c>
      <c r="L100">
        <v>4</v>
      </c>
      <c r="M100" t="s">
        <v>41</v>
      </c>
      <c r="N100" t="s">
        <v>40</v>
      </c>
      <c r="O100">
        <v>91.4</v>
      </c>
      <c r="P100">
        <v>142.4</v>
      </c>
      <c r="Q100">
        <v>601.4</v>
      </c>
      <c r="R100">
        <v>10.6</v>
      </c>
      <c r="S100">
        <v>11.6</v>
      </c>
      <c r="T100">
        <v>87</v>
      </c>
      <c r="U100">
        <v>4.5</v>
      </c>
      <c r="V100">
        <v>0</v>
      </c>
      <c r="W100">
        <v>0</v>
      </c>
      <c r="X100">
        <f t="shared" si="1"/>
        <v>0</v>
      </c>
    </row>
    <row r="101" spans="10:24" x14ac:dyDescent="0.3">
      <c r="J101">
        <v>100</v>
      </c>
      <c r="K101">
        <v>3</v>
      </c>
      <c r="L101">
        <v>4</v>
      </c>
      <c r="M101" t="s">
        <v>41</v>
      </c>
      <c r="N101" t="s">
        <v>40</v>
      </c>
      <c r="O101">
        <v>91.4</v>
      </c>
      <c r="P101">
        <v>142.4</v>
      </c>
      <c r="Q101">
        <v>601.4</v>
      </c>
      <c r="R101">
        <v>10.6</v>
      </c>
      <c r="S101">
        <v>19.8</v>
      </c>
      <c r="T101">
        <v>39</v>
      </c>
      <c r="U101">
        <v>5.4</v>
      </c>
      <c r="V101">
        <v>0</v>
      </c>
      <c r="W101">
        <v>0</v>
      </c>
      <c r="X101">
        <f t="shared" si="1"/>
        <v>0</v>
      </c>
    </row>
    <row r="102" spans="10:24" x14ac:dyDescent="0.3">
      <c r="J102">
        <v>101</v>
      </c>
      <c r="K102">
        <v>3</v>
      </c>
      <c r="L102">
        <v>4</v>
      </c>
      <c r="M102" t="s">
        <v>41</v>
      </c>
      <c r="N102" t="s">
        <v>40</v>
      </c>
      <c r="O102">
        <v>91.4</v>
      </c>
      <c r="P102">
        <v>142.4</v>
      </c>
      <c r="Q102">
        <v>601.4</v>
      </c>
      <c r="R102">
        <v>10.6</v>
      </c>
      <c r="S102">
        <v>19.8</v>
      </c>
      <c r="T102">
        <v>39</v>
      </c>
      <c r="U102">
        <v>5.4</v>
      </c>
      <c r="V102">
        <v>0</v>
      </c>
      <c r="W102">
        <v>0</v>
      </c>
      <c r="X102">
        <f t="shared" si="1"/>
        <v>0</v>
      </c>
    </row>
    <row r="103" spans="10:24" x14ac:dyDescent="0.3">
      <c r="J103">
        <v>102</v>
      </c>
      <c r="K103">
        <v>3</v>
      </c>
      <c r="L103">
        <v>4</v>
      </c>
      <c r="M103" t="s">
        <v>41</v>
      </c>
      <c r="N103" t="s">
        <v>38</v>
      </c>
      <c r="O103">
        <v>88.8</v>
      </c>
      <c r="P103">
        <v>147.30000000000001</v>
      </c>
      <c r="Q103">
        <v>614.5</v>
      </c>
      <c r="R103">
        <v>9</v>
      </c>
      <c r="S103">
        <v>14.4</v>
      </c>
      <c r="T103">
        <v>66</v>
      </c>
      <c r="U103">
        <v>5.4</v>
      </c>
      <c r="V103">
        <v>0</v>
      </c>
      <c r="W103">
        <v>0</v>
      </c>
      <c r="X103">
        <f t="shared" si="1"/>
        <v>0</v>
      </c>
    </row>
    <row r="104" spans="10:24" x14ac:dyDescent="0.3">
      <c r="J104">
        <v>103</v>
      </c>
      <c r="K104">
        <v>2</v>
      </c>
      <c r="L104">
        <v>4</v>
      </c>
      <c r="M104" t="s">
        <v>41</v>
      </c>
      <c r="N104" t="s">
        <v>38</v>
      </c>
      <c r="O104">
        <v>94.8</v>
      </c>
      <c r="P104">
        <v>108.3</v>
      </c>
      <c r="Q104">
        <v>647.1</v>
      </c>
      <c r="R104">
        <v>17</v>
      </c>
      <c r="S104">
        <v>20.100000000000001</v>
      </c>
      <c r="T104">
        <v>40</v>
      </c>
      <c r="U104">
        <v>4</v>
      </c>
      <c r="V104">
        <v>0</v>
      </c>
      <c r="W104">
        <v>0</v>
      </c>
      <c r="X104">
        <f t="shared" si="1"/>
        <v>0</v>
      </c>
    </row>
    <row r="105" spans="10:24" x14ac:dyDescent="0.3">
      <c r="J105">
        <v>104</v>
      </c>
      <c r="K105">
        <v>2</v>
      </c>
      <c r="L105">
        <v>4</v>
      </c>
      <c r="M105" t="s">
        <v>43</v>
      </c>
      <c r="N105" t="s">
        <v>39</v>
      </c>
      <c r="O105">
        <v>92.5</v>
      </c>
      <c r="P105">
        <v>121.1</v>
      </c>
      <c r="Q105">
        <v>674.4</v>
      </c>
      <c r="R105">
        <v>8.6</v>
      </c>
      <c r="S105">
        <v>24.1</v>
      </c>
      <c r="T105">
        <v>29</v>
      </c>
      <c r="U105">
        <v>4.5</v>
      </c>
      <c r="V105">
        <v>0</v>
      </c>
      <c r="W105">
        <v>0</v>
      </c>
      <c r="X105">
        <f t="shared" si="1"/>
        <v>0</v>
      </c>
    </row>
    <row r="106" spans="10:24" x14ac:dyDescent="0.3">
      <c r="J106">
        <v>105</v>
      </c>
      <c r="K106">
        <v>2</v>
      </c>
      <c r="L106">
        <v>4</v>
      </c>
      <c r="M106" t="s">
        <v>50</v>
      </c>
      <c r="N106" t="s">
        <v>39</v>
      </c>
      <c r="O106">
        <v>82.1</v>
      </c>
      <c r="P106">
        <v>3.7</v>
      </c>
      <c r="Q106">
        <v>9.3000000000000007</v>
      </c>
      <c r="R106">
        <v>2.9</v>
      </c>
      <c r="S106">
        <v>5.3</v>
      </c>
      <c r="T106">
        <v>78</v>
      </c>
      <c r="U106">
        <v>3.1</v>
      </c>
      <c r="V106">
        <v>0</v>
      </c>
      <c r="W106">
        <v>0</v>
      </c>
      <c r="X106">
        <f t="shared" si="1"/>
        <v>0</v>
      </c>
    </row>
    <row r="107" spans="10:24" x14ac:dyDescent="0.3">
      <c r="J107">
        <v>106</v>
      </c>
      <c r="K107">
        <v>4</v>
      </c>
      <c r="L107">
        <v>5</v>
      </c>
      <c r="M107" t="s">
        <v>35</v>
      </c>
      <c r="N107" t="s">
        <v>36</v>
      </c>
      <c r="O107">
        <v>85.9</v>
      </c>
      <c r="P107">
        <v>19.5</v>
      </c>
      <c r="Q107">
        <v>57.3</v>
      </c>
      <c r="R107">
        <v>2.8</v>
      </c>
      <c r="S107">
        <v>12.7</v>
      </c>
      <c r="T107">
        <v>52</v>
      </c>
      <c r="U107">
        <v>6.3</v>
      </c>
      <c r="V107">
        <v>0</v>
      </c>
      <c r="W107">
        <v>0</v>
      </c>
      <c r="X107">
        <f t="shared" si="1"/>
        <v>0</v>
      </c>
    </row>
    <row r="108" spans="10:24" x14ac:dyDescent="0.3">
      <c r="J108">
        <v>107</v>
      </c>
      <c r="K108">
        <v>4</v>
      </c>
      <c r="L108">
        <v>5</v>
      </c>
      <c r="M108" t="s">
        <v>35</v>
      </c>
      <c r="N108" t="s">
        <v>48</v>
      </c>
      <c r="O108">
        <v>91.4</v>
      </c>
      <c r="P108">
        <v>30.7</v>
      </c>
      <c r="Q108">
        <v>74.3</v>
      </c>
      <c r="R108">
        <v>7.5</v>
      </c>
      <c r="S108">
        <v>18.2</v>
      </c>
      <c r="T108">
        <v>29</v>
      </c>
      <c r="U108">
        <v>3.1</v>
      </c>
      <c r="V108">
        <v>0</v>
      </c>
      <c r="W108">
        <v>0</v>
      </c>
      <c r="X108">
        <f t="shared" si="1"/>
        <v>0</v>
      </c>
    </row>
    <row r="109" spans="10:24" x14ac:dyDescent="0.3">
      <c r="J109">
        <v>108</v>
      </c>
      <c r="K109">
        <v>4</v>
      </c>
      <c r="L109">
        <v>5</v>
      </c>
      <c r="M109" t="s">
        <v>41</v>
      </c>
      <c r="N109" t="s">
        <v>40</v>
      </c>
      <c r="O109">
        <v>90.2</v>
      </c>
      <c r="P109">
        <v>99.6</v>
      </c>
      <c r="Q109">
        <v>631.20000000000005</v>
      </c>
      <c r="R109">
        <v>6.3</v>
      </c>
      <c r="S109">
        <v>21.4</v>
      </c>
      <c r="T109">
        <v>33</v>
      </c>
      <c r="U109">
        <v>3.1</v>
      </c>
      <c r="V109">
        <v>0</v>
      </c>
      <c r="W109">
        <v>0</v>
      </c>
      <c r="X109">
        <f t="shared" si="1"/>
        <v>0</v>
      </c>
    </row>
    <row r="110" spans="10:24" x14ac:dyDescent="0.3">
      <c r="J110">
        <v>109</v>
      </c>
      <c r="K110">
        <v>4</v>
      </c>
      <c r="L110">
        <v>5</v>
      </c>
      <c r="M110" t="s">
        <v>43</v>
      </c>
      <c r="N110" t="s">
        <v>39</v>
      </c>
      <c r="O110">
        <v>92.5</v>
      </c>
      <c r="P110">
        <v>88</v>
      </c>
      <c r="Q110">
        <v>698.6</v>
      </c>
      <c r="R110">
        <v>7.1</v>
      </c>
      <c r="S110">
        <v>20.3</v>
      </c>
      <c r="T110">
        <v>45</v>
      </c>
      <c r="U110">
        <v>3.1</v>
      </c>
      <c r="V110">
        <v>0</v>
      </c>
      <c r="W110">
        <v>0</v>
      </c>
      <c r="X110">
        <f t="shared" si="1"/>
        <v>0</v>
      </c>
    </row>
    <row r="111" spans="10:24" x14ac:dyDescent="0.3">
      <c r="J111">
        <v>110</v>
      </c>
      <c r="K111">
        <v>4</v>
      </c>
      <c r="L111">
        <v>5</v>
      </c>
      <c r="M111" t="s">
        <v>43</v>
      </c>
      <c r="N111" t="s">
        <v>42</v>
      </c>
      <c r="O111">
        <v>88.6</v>
      </c>
      <c r="P111">
        <v>91.8</v>
      </c>
      <c r="Q111">
        <v>709.9</v>
      </c>
      <c r="R111">
        <v>7.1</v>
      </c>
      <c r="S111">
        <v>17.399999999999999</v>
      </c>
      <c r="T111">
        <v>56</v>
      </c>
      <c r="U111">
        <v>5.4</v>
      </c>
      <c r="V111">
        <v>0</v>
      </c>
      <c r="W111">
        <v>0</v>
      </c>
      <c r="X111">
        <f t="shared" si="1"/>
        <v>0</v>
      </c>
    </row>
    <row r="112" spans="10:24" x14ac:dyDescent="0.3">
      <c r="J112">
        <v>111</v>
      </c>
      <c r="K112">
        <v>4</v>
      </c>
      <c r="L112">
        <v>4</v>
      </c>
      <c r="M112" t="s">
        <v>35</v>
      </c>
      <c r="N112" t="s">
        <v>36</v>
      </c>
      <c r="O112">
        <v>85.9</v>
      </c>
      <c r="P112">
        <v>19.5</v>
      </c>
      <c r="Q112">
        <v>57.3</v>
      </c>
      <c r="R112">
        <v>2.8</v>
      </c>
      <c r="S112">
        <v>13.7</v>
      </c>
      <c r="T112">
        <v>43</v>
      </c>
      <c r="U112">
        <v>5.8</v>
      </c>
      <c r="V112">
        <v>0</v>
      </c>
      <c r="W112">
        <v>0</v>
      </c>
      <c r="X112">
        <f t="shared" si="1"/>
        <v>0</v>
      </c>
    </row>
    <row r="113" spans="10:24" x14ac:dyDescent="0.3">
      <c r="J113">
        <v>112</v>
      </c>
      <c r="K113">
        <v>3</v>
      </c>
      <c r="L113">
        <v>4</v>
      </c>
      <c r="M113" t="s">
        <v>35</v>
      </c>
      <c r="N113" t="s">
        <v>36</v>
      </c>
      <c r="O113">
        <v>91.7</v>
      </c>
      <c r="P113">
        <v>33.299999999999997</v>
      </c>
      <c r="Q113">
        <v>77.5</v>
      </c>
      <c r="R113">
        <v>9</v>
      </c>
      <c r="S113">
        <v>18.8</v>
      </c>
      <c r="T113">
        <v>18</v>
      </c>
      <c r="U113">
        <v>4.5</v>
      </c>
      <c r="V113">
        <v>0</v>
      </c>
      <c r="W113">
        <v>0</v>
      </c>
      <c r="X113">
        <f t="shared" si="1"/>
        <v>0</v>
      </c>
    </row>
    <row r="114" spans="10:24" x14ac:dyDescent="0.3">
      <c r="J114">
        <v>113</v>
      </c>
      <c r="K114">
        <v>3</v>
      </c>
      <c r="L114">
        <v>4</v>
      </c>
      <c r="M114" t="s">
        <v>43</v>
      </c>
      <c r="N114" t="s">
        <v>40</v>
      </c>
      <c r="O114">
        <v>89.7</v>
      </c>
      <c r="P114">
        <v>90</v>
      </c>
      <c r="Q114">
        <v>704.4</v>
      </c>
      <c r="R114">
        <v>4.8</v>
      </c>
      <c r="S114">
        <v>22.8</v>
      </c>
      <c r="T114">
        <v>39</v>
      </c>
      <c r="U114">
        <v>3.6</v>
      </c>
      <c r="V114">
        <v>0</v>
      </c>
      <c r="W114">
        <v>0</v>
      </c>
      <c r="X114">
        <f t="shared" si="1"/>
        <v>0</v>
      </c>
    </row>
    <row r="115" spans="10:24" x14ac:dyDescent="0.3">
      <c r="J115">
        <v>114</v>
      </c>
      <c r="K115">
        <v>3</v>
      </c>
      <c r="L115">
        <v>4</v>
      </c>
      <c r="M115" t="s">
        <v>43</v>
      </c>
      <c r="N115" t="s">
        <v>42</v>
      </c>
      <c r="O115">
        <v>91.8</v>
      </c>
      <c r="P115">
        <v>78.5</v>
      </c>
      <c r="Q115">
        <v>724.3</v>
      </c>
      <c r="R115">
        <v>9.1999999999999993</v>
      </c>
      <c r="S115">
        <v>18.899999999999999</v>
      </c>
      <c r="T115">
        <v>35</v>
      </c>
      <c r="U115">
        <v>2.7</v>
      </c>
      <c r="V115">
        <v>0</v>
      </c>
      <c r="W115">
        <v>0</v>
      </c>
      <c r="X115">
        <f t="shared" si="1"/>
        <v>0</v>
      </c>
    </row>
    <row r="116" spans="10:24" x14ac:dyDescent="0.3">
      <c r="J116">
        <v>115</v>
      </c>
      <c r="K116">
        <v>3</v>
      </c>
      <c r="L116">
        <v>4</v>
      </c>
      <c r="M116" t="s">
        <v>35</v>
      </c>
      <c r="N116" t="s">
        <v>38</v>
      </c>
      <c r="O116">
        <v>88.1</v>
      </c>
      <c r="P116">
        <v>25.7</v>
      </c>
      <c r="Q116">
        <v>67.599999999999994</v>
      </c>
      <c r="R116">
        <v>3.8</v>
      </c>
      <c r="S116">
        <v>15.8</v>
      </c>
      <c r="T116">
        <v>27</v>
      </c>
      <c r="U116">
        <v>7.6</v>
      </c>
      <c r="V116">
        <v>0</v>
      </c>
      <c r="W116">
        <v>0</v>
      </c>
      <c r="X116">
        <f t="shared" si="1"/>
        <v>0</v>
      </c>
    </row>
    <row r="117" spans="10:24" x14ac:dyDescent="0.3">
      <c r="J117">
        <v>116</v>
      </c>
      <c r="K117">
        <v>3</v>
      </c>
      <c r="L117">
        <v>5</v>
      </c>
      <c r="M117" t="s">
        <v>35</v>
      </c>
      <c r="N117" t="s">
        <v>38</v>
      </c>
      <c r="O117">
        <v>88.1</v>
      </c>
      <c r="P117">
        <v>25.7</v>
      </c>
      <c r="Q117">
        <v>67.599999999999994</v>
      </c>
      <c r="R117">
        <v>3.8</v>
      </c>
      <c r="S117">
        <v>15.5</v>
      </c>
      <c r="T117">
        <v>27</v>
      </c>
      <c r="U117">
        <v>6.3</v>
      </c>
      <c r="V117">
        <v>0</v>
      </c>
      <c r="W117">
        <v>0</v>
      </c>
      <c r="X117">
        <f t="shared" si="1"/>
        <v>0</v>
      </c>
    </row>
    <row r="118" spans="10:24" x14ac:dyDescent="0.3">
      <c r="J118">
        <v>117</v>
      </c>
      <c r="K118">
        <v>3</v>
      </c>
      <c r="L118">
        <v>4</v>
      </c>
      <c r="M118" t="s">
        <v>35</v>
      </c>
      <c r="N118" t="s">
        <v>39</v>
      </c>
      <c r="O118">
        <v>91.7</v>
      </c>
      <c r="P118">
        <v>35.799999999999997</v>
      </c>
      <c r="Q118">
        <v>80.8</v>
      </c>
      <c r="R118">
        <v>7.8</v>
      </c>
      <c r="S118">
        <v>11.6</v>
      </c>
      <c r="T118">
        <v>30</v>
      </c>
      <c r="U118">
        <v>6.3</v>
      </c>
      <c r="V118">
        <v>0</v>
      </c>
      <c r="W118">
        <v>0</v>
      </c>
      <c r="X118">
        <f t="shared" si="1"/>
        <v>0</v>
      </c>
    </row>
    <row r="119" spans="10:24" x14ac:dyDescent="0.3">
      <c r="J119">
        <v>118</v>
      </c>
      <c r="K119">
        <v>3</v>
      </c>
      <c r="L119">
        <v>4</v>
      </c>
      <c r="M119" t="s">
        <v>35</v>
      </c>
      <c r="N119" t="s">
        <v>39</v>
      </c>
      <c r="O119">
        <v>91.7</v>
      </c>
      <c r="P119">
        <v>35.799999999999997</v>
      </c>
      <c r="Q119">
        <v>80.8</v>
      </c>
      <c r="R119">
        <v>7.8</v>
      </c>
      <c r="S119">
        <v>15.2</v>
      </c>
      <c r="T119">
        <v>27</v>
      </c>
      <c r="U119">
        <v>4.9000000000000004</v>
      </c>
      <c r="V119">
        <v>0</v>
      </c>
      <c r="W119">
        <v>0</v>
      </c>
      <c r="X119">
        <f t="shared" si="1"/>
        <v>0</v>
      </c>
    </row>
    <row r="120" spans="10:24" x14ac:dyDescent="0.3">
      <c r="J120">
        <v>119</v>
      </c>
      <c r="K120">
        <v>3</v>
      </c>
      <c r="L120">
        <v>4</v>
      </c>
      <c r="M120" t="s">
        <v>35</v>
      </c>
      <c r="N120" t="s">
        <v>42</v>
      </c>
      <c r="O120">
        <v>90.1</v>
      </c>
      <c r="P120">
        <v>39.700000000000003</v>
      </c>
      <c r="Q120">
        <v>86.6</v>
      </c>
      <c r="R120">
        <v>6.2</v>
      </c>
      <c r="S120">
        <v>10.6</v>
      </c>
      <c r="T120">
        <v>30</v>
      </c>
      <c r="U120">
        <v>4</v>
      </c>
      <c r="V120">
        <v>0</v>
      </c>
      <c r="W120">
        <v>0</v>
      </c>
      <c r="X120">
        <f t="shared" si="1"/>
        <v>0</v>
      </c>
    </row>
    <row r="121" spans="10:24" x14ac:dyDescent="0.3">
      <c r="J121">
        <v>120</v>
      </c>
      <c r="K121">
        <v>3</v>
      </c>
      <c r="L121">
        <v>4</v>
      </c>
      <c r="M121" t="s">
        <v>41</v>
      </c>
      <c r="N121" t="s">
        <v>48</v>
      </c>
      <c r="O121">
        <v>93</v>
      </c>
      <c r="P121">
        <v>75.3</v>
      </c>
      <c r="Q121">
        <v>466.6</v>
      </c>
      <c r="R121">
        <v>7.7</v>
      </c>
      <c r="S121">
        <v>19.600000000000001</v>
      </c>
      <c r="T121">
        <v>36</v>
      </c>
      <c r="U121">
        <v>3.1</v>
      </c>
      <c r="V121">
        <v>0</v>
      </c>
      <c r="W121">
        <v>0</v>
      </c>
      <c r="X121">
        <f t="shared" si="1"/>
        <v>0</v>
      </c>
    </row>
    <row r="122" spans="10:24" x14ac:dyDescent="0.3">
      <c r="J122">
        <v>121</v>
      </c>
      <c r="K122">
        <v>3</v>
      </c>
      <c r="L122">
        <v>4</v>
      </c>
      <c r="M122" t="s">
        <v>41</v>
      </c>
      <c r="N122" t="s">
        <v>42</v>
      </c>
      <c r="O122">
        <v>91.5</v>
      </c>
      <c r="P122">
        <v>145.4</v>
      </c>
      <c r="Q122">
        <v>608.20000000000005</v>
      </c>
      <c r="R122">
        <v>10.7</v>
      </c>
      <c r="S122">
        <v>10.3</v>
      </c>
      <c r="T122">
        <v>74</v>
      </c>
      <c r="U122">
        <v>2.2000000000000002</v>
      </c>
      <c r="V122">
        <v>0</v>
      </c>
      <c r="W122">
        <v>0</v>
      </c>
      <c r="X122">
        <f t="shared" si="1"/>
        <v>0</v>
      </c>
    </row>
    <row r="123" spans="10:24" x14ac:dyDescent="0.3">
      <c r="J123">
        <v>122</v>
      </c>
      <c r="K123">
        <v>3</v>
      </c>
      <c r="L123">
        <v>4</v>
      </c>
      <c r="M123" t="s">
        <v>41</v>
      </c>
      <c r="N123" t="s">
        <v>42</v>
      </c>
      <c r="O123">
        <v>91.5</v>
      </c>
      <c r="P123">
        <v>145.4</v>
      </c>
      <c r="Q123">
        <v>608.20000000000005</v>
      </c>
      <c r="R123">
        <v>10.7</v>
      </c>
      <c r="S123">
        <v>17.100000000000001</v>
      </c>
      <c r="T123">
        <v>43</v>
      </c>
      <c r="U123">
        <v>5.4</v>
      </c>
      <c r="V123">
        <v>0</v>
      </c>
      <c r="W123">
        <v>0</v>
      </c>
      <c r="X123">
        <f t="shared" si="1"/>
        <v>0</v>
      </c>
    </row>
    <row r="124" spans="10:24" x14ac:dyDescent="0.3">
      <c r="J124">
        <v>123</v>
      </c>
      <c r="K124">
        <v>3</v>
      </c>
      <c r="L124">
        <v>4</v>
      </c>
      <c r="M124" t="s">
        <v>43</v>
      </c>
      <c r="N124" t="s">
        <v>40</v>
      </c>
      <c r="O124">
        <v>92.4</v>
      </c>
      <c r="P124">
        <v>124.1</v>
      </c>
      <c r="Q124">
        <v>680.7</v>
      </c>
      <c r="R124">
        <v>8.5</v>
      </c>
      <c r="S124">
        <v>22.5</v>
      </c>
      <c r="T124">
        <v>42</v>
      </c>
      <c r="U124">
        <v>5.4</v>
      </c>
      <c r="V124">
        <v>0</v>
      </c>
      <c r="W124">
        <v>0</v>
      </c>
      <c r="X124">
        <f t="shared" si="1"/>
        <v>0</v>
      </c>
    </row>
    <row r="125" spans="10:24" x14ac:dyDescent="0.3">
      <c r="J125">
        <v>124</v>
      </c>
      <c r="K125">
        <v>3</v>
      </c>
      <c r="L125">
        <v>4</v>
      </c>
      <c r="M125" t="s">
        <v>43</v>
      </c>
      <c r="N125" t="s">
        <v>38</v>
      </c>
      <c r="O125">
        <v>84.4</v>
      </c>
      <c r="P125">
        <v>73.400000000000006</v>
      </c>
      <c r="Q125">
        <v>671.9</v>
      </c>
      <c r="R125">
        <v>3.2</v>
      </c>
      <c r="S125">
        <v>17.899999999999999</v>
      </c>
      <c r="T125">
        <v>45</v>
      </c>
      <c r="U125">
        <v>3.1</v>
      </c>
      <c r="V125">
        <v>0</v>
      </c>
      <c r="W125">
        <v>0</v>
      </c>
      <c r="X125">
        <f t="shared" si="1"/>
        <v>0</v>
      </c>
    </row>
    <row r="126" spans="10:24" x14ac:dyDescent="0.3">
      <c r="J126">
        <v>125</v>
      </c>
      <c r="K126">
        <v>3</v>
      </c>
      <c r="L126">
        <v>4</v>
      </c>
      <c r="M126" t="s">
        <v>43</v>
      </c>
      <c r="N126" t="s">
        <v>36</v>
      </c>
      <c r="O126">
        <v>94.3</v>
      </c>
      <c r="P126">
        <v>85.1</v>
      </c>
      <c r="Q126">
        <v>692.3</v>
      </c>
      <c r="R126">
        <v>15.9</v>
      </c>
      <c r="S126">
        <v>19.8</v>
      </c>
      <c r="T126">
        <v>50</v>
      </c>
      <c r="U126">
        <v>5.4</v>
      </c>
      <c r="V126">
        <v>0</v>
      </c>
      <c r="W126">
        <v>0</v>
      </c>
      <c r="X126">
        <f t="shared" si="1"/>
        <v>0</v>
      </c>
    </row>
    <row r="127" spans="10:24" x14ac:dyDescent="0.3">
      <c r="J127">
        <v>126</v>
      </c>
      <c r="K127">
        <v>3</v>
      </c>
      <c r="L127">
        <v>4</v>
      </c>
      <c r="M127" t="s">
        <v>37</v>
      </c>
      <c r="N127" t="s">
        <v>40</v>
      </c>
      <c r="O127">
        <v>92.6</v>
      </c>
      <c r="P127">
        <v>46.5</v>
      </c>
      <c r="Q127">
        <v>691.8</v>
      </c>
      <c r="R127">
        <v>8.8000000000000007</v>
      </c>
      <c r="S127">
        <v>20.6</v>
      </c>
      <c r="T127">
        <v>24</v>
      </c>
      <c r="U127">
        <v>5.4</v>
      </c>
      <c r="V127">
        <v>0</v>
      </c>
      <c r="W127">
        <v>0</v>
      </c>
      <c r="X127">
        <f t="shared" si="1"/>
        <v>0</v>
      </c>
    </row>
    <row r="128" spans="10:24" x14ac:dyDescent="0.3">
      <c r="J128">
        <v>127</v>
      </c>
      <c r="K128">
        <v>3</v>
      </c>
      <c r="L128">
        <v>5</v>
      </c>
      <c r="M128" t="s">
        <v>35</v>
      </c>
      <c r="N128" t="s">
        <v>42</v>
      </c>
      <c r="O128">
        <v>87.6</v>
      </c>
      <c r="P128">
        <v>52.2</v>
      </c>
      <c r="Q128">
        <v>103.8</v>
      </c>
      <c r="R128">
        <v>5</v>
      </c>
      <c r="S128">
        <v>9</v>
      </c>
      <c r="T128">
        <v>49</v>
      </c>
      <c r="U128">
        <v>2.2000000000000002</v>
      </c>
      <c r="V128">
        <v>0</v>
      </c>
      <c r="W128">
        <v>0</v>
      </c>
      <c r="X128">
        <f t="shared" si="1"/>
        <v>0</v>
      </c>
    </row>
    <row r="129" spans="10:24" x14ac:dyDescent="0.3">
      <c r="J129">
        <v>128</v>
      </c>
      <c r="K129">
        <v>3</v>
      </c>
      <c r="L129">
        <v>5</v>
      </c>
      <c r="M129" t="s">
        <v>43</v>
      </c>
      <c r="N129" t="s">
        <v>36</v>
      </c>
      <c r="O129">
        <v>93.5</v>
      </c>
      <c r="P129">
        <v>149.30000000000001</v>
      </c>
      <c r="Q129">
        <v>728.6</v>
      </c>
      <c r="R129">
        <v>8.1</v>
      </c>
      <c r="S129">
        <v>17.2</v>
      </c>
      <c r="T129">
        <v>43</v>
      </c>
      <c r="U129">
        <v>3.1</v>
      </c>
      <c r="V129">
        <v>0</v>
      </c>
      <c r="W129">
        <v>0</v>
      </c>
      <c r="X129">
        <f t="shared" si="1"/>
        <v>0</v>
      </c>
    </row>
    <row r="130" spans="10:24" x14ac:dyDescent="0.3">
      <c r="J130">
        <v>129</v>
      </c>
      <c r="K130">
        <v>3</v>
      </c>
      <c r="L130">
        <v>5</v>
      </c>
      <c r="M130" t="s">
        <v>37</v>
      </c>
      <c r="N130" t="s">
        <v>44</v>
      </c>
      <c r="O130">
        <v>91.4</v>
      </c>
      <c r="P130">
        <v>37.9</v>
      </c>
      <c r="Q130">
        <v>673.8</v>
      </c>
      <c r="R130">
        <v>5.2</v>
      </c>
      <c r="S130">
        <v>15.9</v>
      </c>
      <c r="T130">
        <v>46</v>
      </c>
      <c r="U130">
        <v>3.6</v>
      </c>
      <c r="V130">
        <v>0</v>
      </c>
      <c r="W130">
        <v>0</v>
      </c>
      <c r="X130">
        <f t="shared" si="1"/>
        <v>0</v>
      </c>
    </row>
    <row r="131" spans="10:24" x14ac:dyDescent="0.3">
      <c r="J131">
        <v>130</v>
      </c>
      <c r="K131">
        <v>2</v>
      </c>
      <c r="L131">
        <v>5</v>
      </c>
      <c r="M131" t="s">
        <v>37</v>
      </c>
      <c r="N131" t="s">
        <v>40</v>
      </c>
      <c r="O131">
        <v>92.6</v>
      </c>
      <c r="P131">
        <v>46.5</v>
      </c>
      <c r="Q131">
        <v>691.8</v>
      </c>
      <c r="R131">
        <v>8.8000000000000007</v>
      </c>
      <c r="S131">
        <v>15.4</v>
      </c>
      <c r="T131">
        <v>35</v>
      </c>
      <c r="U131">
        <v>0.9</v>
      </c>
      <c r="V131">
        <v>0</v>
      </c>
      <c r="W131">
        <v>0</v>
      </c>
      <c r="X131">
        <f t="shared" ref="X131:X194" si="2">IF(W131&gt;0,1,0)</f>
        <v>0</v>
      </c>
    </row>
    <row r="132" spans="10:24" x14ac:dyDescent="0.3">
      <c r="J132">
        <v>131</v>
      </c>
      <c r="K132">
        <v>4</v>
      </c>
      <c r="L132">
        <v>6</v>
      </c>
      <c r="M132" t="s">
        <v>49</v>
      </c>
      <c r="N132" t="s">
        <v>39</v>
      </c>
      <c r="O132">
        <v>68.2</v>
      </c>
      <c r="P132">
        <v>21.5</v>
      </c>
      <c r="Q132">
        <v>87.2</v>
      </c>
      <c r="R132">
        <v>0.8</v>
      </c>
      <c r="S132">
        <v>15.4</v>
      </c>
      <c r="T132">
        <v>40</v>
      </c>
      <c r="U132">
        <v>2.7</v>
      </c>
      <c r="V132">
        <v>0</v>
      </c>
      <c r="W132">
        <v>0</v>
      </c>
      <c r="X132">
        <f t="shared" si="2"/>
        <v>0</v>
      </c>
    </row>
    <row r="133" spans="10:24" x14ac:dyDescent="0.3">
      <c r="J133">
        <v>132</v>
      </c>
      <c r="K133">
        <v>4</v>
      </c>
      <c r="L133">
        <v>6</v>
      </c>
      <c r="M133" t="s">
        <v>35</v>
      </c>
      <c r="N133" t="s">
        <v>42</v>
      </c>
      <c r="O133">
        <v>87.2</v>
      </c>
      <c r="P133">
        <v>23.9</v>
      </c>
      <c r="Q133">
        <v>64.7</v>
      </c>
      <c r="R133">
        <v>4.0999999999999996</v>
      </c>
      <c r="S133">
        <v>14</v>
      </c>
      <c r="T133">
        <v>39</v>
      </c>
      <c r="U133">
        <v>3.1</v>
      </c>
      <c r="V133">
        <v>0</v>
      </c>
      <c r="W133">
        <v>0</v>
      </c>
      <c r="X133">
        <f t="shared" si="2"/>
        <v>0</v>
      </c>
    </row>
    <row r="134" spans="10:24" x14ac:dyDescent="0.3">
      <c r="J134">
        <v>133</v>
      </c>
      <c r="K134">
        <v>4</v>
      </c>
      <c r="L134">
        <v>6</v>
      </c>
      <c r="M134" t="s">
        <v>35</v>
      </c>
      <c r="N134" t="s">
        <v>40</v>
      </c>
      <c r="O134">
        <v>89.3</v>
      </c>
      <c r="P134">
        <v>51.3</v>
      </c>
      <c r="Q134">
        <v>102.2</v>
      </c>
      <c r="R134">
        <v>9.6</v>
      </c>
      <c r="S134">
        <v>10.6</v>
      </c>
      <c r="T134">
        <v>46</v>
      </c>
      <c r="U134">
        <v>4.9000000000000004</v>
      </c>
      <c r="V134">
        <v>0</v>
      </c>
      <c r="W134">
        <v>0</v>
      </c>
      <c r="X134">
        <f t="shared" si="2"/>
        <v>0</v>
      </c>
    </row>
    <row r="135" spans="10:24" x14ac:dyDescent="0.3">
      <c r="J135">
        <v>134</v>
      </c>
      <c r="K135">
        <v>4</v>
      </c>
      <c r="L135">
        <v>6</v>
      </c>
      <c r="M135" t="s">
        <v>43</v>
      </c>
      <c r="N135" t="s">
        <v>48</v>
      </c>
      <c r="O135">
        <v>93.7</v>
      </c>
      <c r="P135">
        <v>80.900000000000006</v>
      </c>
      <c r="Q135">
        <v>685.2</v>
      </c>
      <c r="R135">
        <v>17.899999999999999</v>
      </c>
      <c r="S135">
        <v>17.600000000000001</v>
      </c>
      <c r="T135">
        <v>42</v>
      </c>
      <c r="U135">
        <v>3.1</v>
      </c>
      <c r="V135">
        <v>0</v>
      </c>
      <c r="W135">
        <v>0</v>
      </c>
      <c r="X135">
        <f t="shared" si="2"/>
        <v>0</v>
      </c>
    </row>
    <row r="136" spans="10:24" x14ac:dyDescent="0.3">
      <c r="J136">
        <v>135</v>
      </c>
      <c r="K136">
        <v>3</v>
      </c>
      <c r="L136">
        <v>5</v>
      </c>
      <c r="M136" t="s">
        <v>35</v>
      </c>
      <c r="N136" t="s">
        <v>38</v>
      </c>
      <c r="O136">
        <v>88.1</v>
      </c>
      <c r="P136">
        <v>25.7</v>
      </c>
      <c r="Q136">
        <v>67.599999999999994</v>
      </c>
      <c r="R136">
        <v>3.8</v>
      </c>
      <c r="S136">
        <v>14.9</v>
      </c>
      <c r="T136">
        <v>38</v>
      </c>
      <c r="U136">
        <v>2.7</v>
      </c>
      <c r="V136">
        <v>0</v>
      </c>
      <c r="W136">
        <v>0</v>
      </c>
      <c r="X136">
        <f t="shared" si="2"/>
        <v>0</v>
      </c>
    </row>
    <row r="137" spans="10:24" x14ac:dyDescent="0.3">
      <c r="J137">
        <v>136</v>
      </c>
      <c r="K137">
        <v>3</v>
      </c>
      <c r="L137">
        <v>5</v>
      </c>
      <c r="M137" t="s">
        <v>41</v>
      </c>
      <c r="N137" t="s">
        <v>39</v>
      </c>
      <c r="O137">
        <v>93.5</v>
      </c>
      <c r="P137">
        <v>139.4</v>
      </c>
      <c r="Q137">
        <v>594.20000000000005</v>
      </c>
      <c r="R137">
        <v>20.3</v>
      </c>
      <c r="S137">
        <v>17.600000000000001</v>
      </c>
      <c r="T137">
        <v>52</v>
      </c>
      <c r="U137">
        <v>5.8</v>
      </c>
      <c r="V137">
        <v>0</v>
      </c>
      <c r="W137">
        <v>0</v>
      </c>
      <c r="X137">
        <f t="shared" si="2"/>
        <v>0</v>
      </c>
    </row>
    <row r="138" spans="10:24" x14ac:dyDescent="0.3">
      <c r="J138">
        <v>137</v>
      </c>
      <c r="K138">
        <v>3</v>
      </c>
      <c r="L138">
        <v>6</v>
      </c>
      <c r="M138" t="s">
        <v>43</v>
      </c>
      <c r="N138" t="s">
        <v>40</v>
      </c>
      <c r="O138">
        <v>92.4</v>
      </c>
      <c r="P138">
        <v>124.1</v>
      </c>
      <c r="Q138">
        <v>680.7</v>
      </c>
      <c r="R138">
        <v>8.5</v>
      </c>
      <c r="S138">
        <v>17.2</v>
      </c>
      <c r="T138">
        <v>58</v>
      </c>
      <c r="U138">
        <v>1.3</v>
      </c>
      <c r="V138">
        <v>0</v>
      </c>
      <c r="W138">
        <v>0</v>
      </c>
      <c r="X138">
        <f t="shared" si="2"/>
        <v>0</v>
      </c>
    </row>
    <row r="139" spans="10:24" x14ac:dyDescent="0.3">
      <c r="J139">
        <v>138</v>
      </c>
      <c r="K139">
        <v>3</v>
      </c>
      <c r="L139">
        <v>6</v>
      </c>
      <c r="M139" t="s">
        <v>43</v>
      </c>
      <c r="N139" t="s">
        <v>42</v>
      </c>
      <c r="O139">
        <v>90.9</v>
      </c>
      <c r="P139">
        <v>126.5</v>
      </c>
      <c r="Q139">
        <v>686.5</v>
      </c>
      <c r="R139">
        <v>7</v>
      </c>
      <c r="S139">
        <v>15.6</v>
      </c>
      <c r="T139">
        <v>66</v>
      </c>
      <c r="U139">
        <v>3.1</v>
      </c>
      <c r="V139">
        <v>0</v>
      </c>
      <c r="W139">
        <v>0</v>
      </c>
      <c r="X139">
        <f t="shared" si="2"/>
        <v>0</v>
      </c>
    </row>
    <row r="140" spans="10:24" x14ac:dyDescent="0.3">
      <c r="J140">
        <v>139</v>
      </c>
      <c r="K140">
        <v>9</v>
      </c>
      <c r="L140">
        <v>9</v>
      </c>
      <c r="M140" t="s">
        <v>47</v>
      </c>
      <c r="N140" t="s">
        <v>38</v>
      </c>
      <c r="O140">
        <v>85.8</v>
      </c>
      <c r="P140">
        <v>48.3</v>
      </c>
      <c r="Q140">
        <v>313.39999999999998</v>
      </c>
      <c r="R140">
        <v>3.9</v>
      </c>
      <c r="S140">
        <v>18</v>
      </c>
      <c r="T140">
        <v>42</v>
      </c>
      <c r="U140">
        <v>2.7</v>
      </c>
      <c r="V140">
        <v>0</v>
      </c>
      <c r="W140">
        <v>0.36</v>
      </c>
      <c r="X140">
        <f t="shared" si="2"/>
        <v>1</v>
      </c>
    </row>
    <row r="141" spans="10:24" x14ac:dyDescent="0.3">
      <c r="J141">
        <v>140</v>
      </c>
      <c r="K141">
        <v>1</v>
      </c>
      <c r="L141">
        <v>4</v>
      </c>
      <c r="M141" t="s">
        <v>43</v>
      </c>
      <c r="N141" t="s">
        <v>38</v>
      </c>
      <c r="O141">
        <v>91</v>
      </c>
      <c r="P141">
        <v>129.5</v>
      </c>
      <c r="Q141">
        <v>692.6</v>
      </c>
      <c r="R141">
        <v>7</v>
      </c>
      <c r="S141">
        <v>21.7</v>
      </c>
      <c r="T141">
        <v>38</v>
      </c>
      <c r="U141">
        <v>2.2000000000000002</v>
      </c>
      <c r="V141">
        <v>0</v>
      </c>
      <c r="W141">
        <v>0.43</v>
      </c>
      <c r="X141">
        <f t="shared" si="2"/>
        <v>1</v>
      </c>
    </row>
    <row r="142" spans="10:24" x14ac:dyDescent="0.3">
      <c r="J142">
        <v>141</v>
      </c>
      <c r="K142">
        <v>2</v>
      </c>
      <c r="L142">
        <v>5</v>
      </c>
      <c r="M142" t="s">
        <v>43</v>
      </c>
      <c r="N142" t="s">
        <v>42</v>
      </c>
      <c r="O142">
        <v>90.9</v>
      </c>
      <c r="P142">
        <v>126.5</v>
      </c>
      <c r="Q142">
        <v>686.5</v>
      </c>
      <c r="R142">
        <v>7</v>
      </c>
      <c r="S142">
        <v>21.9</v>
      </c>
      <c r="T142">
        <v>39</v>
      </c>
      <c r="U142">
        <v>1.8</v>
      </c>
      <c r="V142">
        <v>0</v>
      </c>
      <c r="W142">
        <v>0.47</v>
      </c>
      <c r="X142">
        <f t="shared" si="2"/>
        <v>1</v>
      </c>
    </row>
    <row r="143" spans="10:24" x14ac:dyDescent="0.3">
      <c r="J143">
        <v>142</v>
      </c>
      <c r="K143">
        <v>1</v>
      </c>
      <c r="L143">
        <v>2</v>
      </c>
      <c r="M143" t="s">
        <v>41</v>
      </c>
      <c r="N143" t="s">
        <v>44</v>
      </c>
      <c r="O143">
        <v>95.5</v>
      </c>
      <c r="P143">
        <v>99.9</v>
      </c>
      <c r="Q143">
        <v>513.29999999999995</v>
      </c>
      <c r="R143">
        <v>13.2</v>
      </c>
      <c r="S143">
        <v>23.3</v>
      </c>
      <c r="T143">
        <v>31</v>
      </c>
      <c r="U143">
        <v>4.5</v>
      </c>
      <c r="V143">
        <v>0</v>
      </c>
      <c r="W143">
        <v>0.55000000000000004</v>
      </c>
      <c r="X143">
        <f t="shared" si="2"/>
        <v>1</v>
      </c>
    </row>
    <row r="144" spans="10:24" x14ac:dyDescent="0.3">
      <c r="J144">
        <v>143</v>
      </c>
      <c r="K144">
        <v>8</v>
      </c>
      <c r="L144">
        <v>6</v>
      </c>
      <c r="M144" t="s">
        <v>41</v>
      </c>
      <c r="N144" t="s">
        <v>36</v>
      </c>
      <c r="O144">
        <v>90.1</v>
      </c>
      <c r="P144">
        <v>108</v>
      </c>
      <c r="Q144">
        <v>529.79999999999995</v>
      </c>
      <c r="R144">
        <v>12.5</v>
      </c>
      <c r="S144">
        <v>21.2</v>
      </c>
      <c r="T144">
        <v>51</v>
      </c>
      <c r="U144">
        <v>8.9</v>
      </c>
      <c r="V144">
        <v>0</v>
      </c>
      <c r="W144">
        <v>0.61</v>
      </c>
      <c r="X144">
        <f t="shared" si="2"/>
        <v>1</v>
      </c>
    </row>
    <row r="145" spans="10:24" x14ac:dyDescent="0.3">
      <c r="J145">
        <v>144</v>
      </c>
      <c r="K145">
        <v>1</v>
      </c>
      <c r="L145">
        <v>2</v>
      </c>
      <c r="M145" t="s">
        <v>47</v>
      </c>
      <c r="N145" t="s">
        <v>39</v>
      </c>
      <c r="O145">
        <v>90</v>
      </c>
      <c r="P145">
        <v>51.3</v>
      </c>
      <c r="Q145">
        <v>296.3</v>
      </c>
      <c r="R145">
        <v>8.6999999999999993</v>
      </c>
      <c r="S145">
        <v>16.600000000000001</v>
      </c>
      <c r="T145">
        <v>53</v>
      </c>
      <c r="U145">
        <v>5.4</v>
      </c>
      <c r="V145">
        <v>0</v>
      </c>
      <c r="W145">
        <v>0.71</v>
      </c>
      <c r="X145">
        <f t="shared" si="2"/>
        <v>1</v>
      </c>
    </row>
    <row r="146" spans="10:24" x14ac:dyDescent="0.3">
      <c r="J146">
        <v>145</v>
      </c>
      <c r="K146">
        <v>2</v>
      </c>
      <c r="L146">
        <v>5</v>
      </c>
      <c r="M146" t="s">
        <v>41</v>
      </c>
      <c r="N146" t="s">
        <v>44</v>
      </c>
      <c r="O146">
        <v>95.5</v>
      </c>
      <c r="P146">
        <v>99.9</v>
      </c>
      <c r="Q146">
        <v>513.29999999999995</v>
      </c>
      <c r="R146">
        <v>13.2</v>
      </c>
      <c r="S146">
        <v>23.8</v>
      </c>
      <c r="T146">
        <v>32</v>
      </c>
      <c r="U146">
        <v>5.4</v>
      </c>
      <c r="V146">
        <v>0</v>
      </c>
      <c r="W146">
        <v>0.77</v>
      </c>
      <c r="X146">
        <f t="shared" si="2"/>
        <v>1</v>
      </c>
    </row>
    <row r="147" spans="10:24" x14ac:dyDescent="0.3">
      <c r="J147">
        <v>146</v>
      </c>
      <c r="K147">
        <v>6</v>
      </c>
      <c r="L147">
        <v>5</v>
      </c>
      <c r="M147" t="s">
        <v>41</v>
      </c>
      <c r="N147" t="s">
        <v>48</v>
      </c>
      <c r="O147">
        <v>95.2</v>
      </c>
      <c r="P147">
        <v>131.69999999999999</v>
      </c>
      <c r="Q147">
        <v>578.79999999999995</v>
      </c>
      <c r="R147">
        <v>10.4</v>
      </c>
      <c r="S147">
        <v>27.4</v>
      </c>
      <c r="T147">
        <v>22</v>
      </c>
      <c r="U147">
        <v>4</v>
      </c>
      <c r="V147">
        <v>0</v>
      </c>
      <c r="W147">
        <v>0.9</v>
      </c>
      <c r="X147">
        <f t="shared" si="2"/>
        <v>1</v>
      </c>
    </row>
    <row r="148" spans="10:24" x14ac:dyDescent="0.3">
      <c r="J148">
        <v>147</v>
      </c>
      <c r="K148">
        <v>5</v>
      </c>
      <c r="L148">
        <v>4</v>
      </c>
      <c r="M148" t="s">
        <v>35</v>
      </c>
      <c r="N148" t="s">
        <v>42</v>
      </c>
      <c r="O148">
        <v>90.1</v>
      </c>
      <c r="P148">
        <v>39.700000000000003</v>
      </c>
      <c r="Q148">
        <v>86.6</v>
      </c>
      <c r="R148">
        <v>6.2</v>
      </c>
      <c r="S148">
        <v>13.2</v>
      </c>
      <c r="T148">
        <v>40</v>
      </c>
      <c r="U148">
        <v>5.4</v>
      </c>
      <c r="V148">
        <v>0</v>
      </c>
      <c r="W148">
        <v>0.95</v>
      </c>
      <c r="X148">
        <f t="shared" si="2"/>
        <v>1</v>
      </c>
    </row>
    <row r="149" spans="10:24" x14ac:dyDescent="0.3">
      <c r="J149">
        <v>148</v>
      </c>
      <c r="K149">
        <v>8</v>
      </c>
      <c r="L149">
        <v>3</v>
      </c>
      <c r="M149" t="s">
        <v>43</v>
      </c>
      <c r="N149" t="s">
        <v>38</v>
      </c>
      <c r="O149">
        <v>84.4</v>
      </c>
      <c r="P149">
        <v>73.400000000000006</v>
      </c>
      <c r="Q149">
        <v>671.9</v>
      </c>
      <c r="R149">
        <v>3.2</v>
      </c>
      <c r="S149">
        <v>24.2</v>
      </c>
      <c r="T149">
        <v>28</v>
      </c>
      <c r="U149">
        <v>3.6</v>
      </c>
      <c r="V149">
        <v>0</v>
      </c>
      <c r="W149">
        <v>0.96</v>
      </c>
      <c r="X149">
        <f t="shared" si="2"/>
        <v>1</v>
      </c>
    </row>
    <row r="150" spans="10:24" x14ac:dyDescent="0.3">
      <c r="J150">
        <v>149</v>
      </c>
      <c r="K150">
        <v>2</v>
      </c>
      <c r="L150">
        <v>2</v>
      </c>
      <c r="M150" t="s">
        <v>41</v>
      </c>
      <c r="N150" t="s">
        <v>38</v>
      </c>
      <c r="O150">
        <v>94.8</v>
      </c>
      <c r="P150">
        <v>108.3</v>
      </c>
      <c r="Q150">
        <v>647.1</v>
      </c>
      <c r="R150">
        <v>17</v>
      </c>
      <c r="S150">
        <v>17.399999999999999</v>
      </c>
      <c r="T150">
        <v>43</v>
      </c>
      <c r="U150">
        <v>6.7</v>
      </c>
      <c r="V150">
        <v>0</v>
      </c>
      <c r="W150">
        <v>1.07</v>
      </c>
      <c r="X150">
        <f t="shared" si="2"/>
        <v>1</v>
      </c>
    </row>
    <row r="151" spans="10:24" x14ac:dyDescent="0.3">
      <c r="J151">
        <v>150</v>
      </c>
      <c r="K151">
        <v>8</v>
      </c>
      <c r="L151">
        <v>6</v>
      </c>
      <c r="M151" t="s">
        <v>43</v>
      </c>
      <c r="N151" t="s">
        <v>48</v>
      </c>
      <c r="O151">
        <v>93.7</v>
      </c>
      <c r="P151">
        <v>80.900000000000006</v>
      </c>
      <c r="Q151">
        <v>685.2</v>
      </c>
      <c r="R151">
        <v>17.899999999999999</v>
      </c>
      <c r="S151">
        <v>23.7</v>
      </c>
      <c r="T151">
        <v>25</v>
      </c>
      <c r="U151">
        <v>4.5</v>
      </c>
      <c r="V151">
        <v>0</v>
      </c>
      <c r="W151">
        <v>1.1200000000000001</v>
      </c>
      <c r="X151">
        <f t="shared" si="2"/>
        <v>1</v>
      </c>
    </row>
    <row r="152" spans="10:24" x14ac:dyDescent="0.3">
      <c r="J152">
        <v>151</v>
      </c>
      <c r="K152">
        <v>6</v>
      </c>
      <c r="L152">
        <v>5</v>
      </c>
      <c r="M152" t="s">
        <v>46</v>
      </c>
      <c r="N152" t="s">
        <v>36</v>
      </c>
      <c r="O152">
        <v>92.5</v>
      </c>
      <c r="P152">
        <v>56.4</v>
      </c>
      <c r="Q152">
        <v>433.3</v>
      </c>
      <c r="R152">
        <v>7.1</v>
      </c>
      <c r="S152">
        <v>23.2</v>
      </c>
      <c r="T152">
        <v>39</v>
      </c>
      <c r="U152">
        <v>5.4</v>
      </c>
      <c r="V152">
        <v>0</v>
      </c>
      <c r="W152">
        <v>1.19</v>
      </c>
      <c r="X152">
        <f t="shared" si="2"/>
        <v>1</v>
      </c>
    </row>
    <row r="153" spans="10:24" x14ac:dyDescent="0.3">
      <c r="J153">
        <v>152</v>
      </c>
      <c r="K153">
        <v>9</v>
      </c>
      <c r="L153">
        <v>9</v>
      </c>
      <c r="M153" t="s">
        <v>47</v>
      </c>
      <c r="N153" t="s">
        <v>40</v>
      </c>
      <c r="O153">
        <v>90.1</v>
      </c>
      <c r="P153">
        <v>68.599999999999994</v>
      </c>
      <c r="Q153">
        <v>355.2</v>
      </c>
      <c r="R153">
        <v>7.2</v>
      </c>
      <c r="S153">
        <v>24.8</v>
      </c>
      <c r="T153">
        <v>29</v>
      </c>
      <c r="U153">
        <v>2.2000000000000002</v>
      </c>
      <c r="V153">
        <v>0</v>
      </c>
      <c r="W153">
        <v>1.36</v>
      </c>
      <c r="X153">
        <f t="shared" si="2"/>
        <v>1</v>
      </c>
    </row>
    <row r="154" spans="10:24" x14ac:dyDescent="0.3">
      <c r="J154">
        <v>153</v>
      </c>
      <c r="K154">
        <v>3</v>
      </c>
      <c r="L154">
        <v>4</v>
      </c>
      <c r="M154" t="s">
        <v>47</v>
      </c>
      <c r="N154" t="s">
        <v>39</v>
      </c>
      <c r="O154">
        <v>90.1</v>
      </c>
      <c r="P154">
        <v>51.2</v>
      </c>
      <c r="Q154">
        <v>424.1</v>
      </c>
      <c r="R154">
        <v>6.2</v>
      </c>
      <c r="S154">
        <v>24.6</v>
      </c>
      <c r="T154">
        <v>43</v>
      </c>
      <c r="U154">
        <v>1.8</v>
      </c>
      <c r="V154">
        <v>0</v>
      </c>
      <c r="W154">
        <v>1.43</v>
      </c>
      <c r="X154">
        <f t="shared" si="2"/>
        <v>1</v>
      </c>
    </row>
    <row r="155" spans="10:24" x14ac:dyDescent="0.3">
      <c r="J155">
        <v>154</v>
      </c>
      <c r="K155">
        <v>5</v>
      </c>
      <c r="L155">
        <v>4</v>
      </c>
      <c r="M155" t="s">
        <v>43</v>
      </c>
      <c r="N155" t="s">
        <v>36</v>
      </c>
      <c r="O155">
        <v>94.3</v>
      </c>
      <c r="P155">
        <v>85.1</v>
      </c>
      <c r="Q155">
        <v>692.3</v>
      </c>
      <c r="R155">
        <v>15.9</v>
      </c>
      <c r="S155">
        <v>20.100000000000001</v>
      </c>
      <c r="T155">
        <v>47</v>
      </c>
      <c r="U155">
        <v>4.9000000000000004</v>
      </c>
      <c r="V155">
        <v>0</v>
      </c>
      <c r="W155">
        <v>1.46</v>
      </c>
      <c r="X155">
        <f t="shared" si="2"/>
        <v>1</v>
      </c>
    </row>
    <row r="156" spans="10:24" x14ac:dyDescent="0.3">
      <c r="J156">
        <v>155</v>
      </c>
      <c r="K156">
        <v>1</v>
      </c>
      <c r="L156">
        <v>5</v>
      </c>
      <c r="M156" t="s">
        <v>43</v>
      </c>
      <c r="N156" t="s">
        <v>39</v>
      </c>
      <c r="O156">
        <v>93.4</v>
      </c>
      <c r="P156">
        <v>145.4</v>
      </c>
      <c r="Q156">
        <v>721.4</v>
      </c>
      <c r="R156">
        <v>8.1</v>
      </c>
      <c r="S156">
        <v>29.6</v>
      </c>
      <c r="T156">
        <v>27</v>
      </c>
      <c r="U156">
        <v>2.7</v>
      </c>
      <c r="V156">
        <v>0</v>
      </c>
      <c r="W156">
        <v>1.46</v>
      </c>
      <c r="X156">
        <f t="shared" si="2"/>
        <v>1</v>
      </c>
    </row>
    <row r="157" spans="10:24" x14ac:dyDescent="0.3">
      <c r="J157">
        <v>156</v>
      </c>
      <c r="K157">
        <v>7</v>
      </c>
      <c r="L157">
        <v>4</v>
      </c>
      <c r="M157" t="s">
        <v>41</v>
      </c>
      <c r="N157" t="s">
        <v>40</v>
      </c>
      <c r="O157">
        <v>94.8</v>
      </c>
      <c r="P157">
        <v>108.3</v>
      </c>
      <c r="Q157">
        <v>647.1</v>
      </c>
      <c r="R157">
        <v>17</v>
      </c>
      <c r="S157">
        <v>16.399999999999999</v>
      </c>
      <c r="T157">
        <v>47</v>
      </c>
      <c r="U157">
        <v>1.3</v>
      </c>
      <c r="V157">
        <v>0</v>
      </c>
      <c r="W157">
        <v>1.56</v>
      </c>
      <c r="X157">
        <f t="shared" si="2"/>
        <v>1</v>
      </c>
    </row>
    <row r="158" spans="10:24" x14ac:dyDescent="0.3">
      <c r="J158">
        <v>157</v>
      </c>
      <c r="K158">
        <v>2</v>
      </c>
      <c r="L158">
        <v>4</v>
      </c>
      <c r="M158" t="s">
        <v>43</v>
      </c>
      <c r="N158" t="s">
        <v>39</v>
      </c>
      <c r="O158">
        <v>93.4</v>
      </c>
      <c r="P158">
        <v>145.4</v>
      </c>
      <c r="Q158">
        <v>721.4</v>
      </c>
      <c r="R158">
        <v>8.1</v>
      </c>
      <c r="S158">
        <v>28.6</v>
      </c>
      <c r="T158">
        <v>27</v>
      </c>
      <c r="U158">
        <v>2.2000000000000002</v>
      </c>
      <c r="V158">
        <v>0</v>
      </c>
      <c r="W158">
        <v>1.61</v>
      </c>
      <c r="X158">
        <f t="shared" si="2"/>
        <v>1</v>
      </c>
    </row>
    <row r="159" spans="10:24" x14ac:dyDescent="0.3">
      <c r="J159">
        <v>158</v>
      </c>
      <c r="K159">
        <v>2</v>
      </c>
      <c r="L159">
        <v>2</v>
      </c>
      <c r="M159" t="s">
        <v>41</v>
      </c>
      <c r="N159" t="s">
        <v>44</v>
      </c>
      <c r="O159">
        <v>92.1</v>
      </c>
      <c r="P159">
        <v>111.2</v>
      </c>
      <c r="Q159">
        <v>654.1</v>
      </c>
      <c r="R159">
        <v>9.6</v>
      </c>
      <c r="S159">
        <v>18.399999999999999</v>
      </c>
      <c r="T159">
        <v>45</v>
      </c>
      <c r="U159">
        <v>3.6</v>
      </c>
      <c r="V159">
        <v>0</v>
      </c>
      <c r="W159">
        <v>1.63</v>
      </c>
      <c r="X159">
        <f t="shared" si="2"/>
        <v>1</v>
      </c>
    </row>
    <row r="160" spans="10:24" x14ac:dyDescent="0.3">
      <c r="J160">
        <v>159</v>
      </c>
      <c r="K160">
        <v>2</v>
      </c>
      <c r="L160">
        <v>4</v>
      </c>
      <c r="M160" t="s">
        <v>41</v>
      </c>
      <c r="N160" t="s">
        <v>44</v>
      </c>
      <c r="O160">
        <v>92.1</v>
      </c>
      <c r="P160">
        <v>111.2</v>
      </c>
      <c r="Q160">
        <v>654.1</v>
      </c>
      <c r="R160">
        <v>9.6</v>
      </c>
      <c r="S160">
        <v>20.5</v>
      </c>
      <c r="T160">
        <v>35</v>
      </c>
      <c r="U160">
        <v>4</v>
      </c>
      <c r="V160">
        <v>0</v>
      </c>
      <c r="W160">
        <v>1.64</v>
      </c>
      <c r="X160">
        <f t="shared" si="2"/>
        <v>1</v>
      </c>
    </row>
    <row r="161" spans="10:24" x14ac:dyDescent="0.3">
      <c r="J161">
        <v>160</v>
      </c>
      <c r="K161">
        <v>7</v>
      </c>
      <c r="L161">
        <v>4</v>
      </c>
      <c r="M161" t="s">
        <v>43</v>
      </c>
      <c r="N161" t="s">
        <v>36</v>
      </c>
      <c r="O161">
        <v>92.4</v>
      </c>
      <c r="P161">
        <v>117.9</v>
      </c>
      <c r="Q161">
        <v>668</v>
      </c>
      <c r="R161">
        <v>12.2</v>
      </c>
      <c r="S161">
        <v>19</v>
      </c>
      <c r="T161">
        <v>34</v>
      </c>
      <c r="U161">
        <v>5.8</v>
      </c>
      <c r="V161">
        <v>0</v>
      </c>
      <c r="W161">
        <v>1.69</v>
      </c>
      <c r="X161">
        <f t="shared" si="2"/>
        <v>1</v>
      </c>
    </row>
    <row r="162" spans="10:24" x14ac:dyDescent="0.3">
      <c r="J162">
        <v>161</v>
      </c>
      <c r="K162">
        <v>7</v>
      </c>
      <c r="L162">
        <v>4</v>
      </c>
      <c r="M162" t="s">
        <v>35</v>
      </c>
      <c r="N162" t="s">
        <v>42</v>
      </c>
      <c r="O162">
        <v>90.1</v>
      </c>
      <c r="P162">
        <v>39.700000000000003</v>
      </c>
      <c r="Q162">
        <v>86.6</v>
      </c>
      <c r="R162">
        <v>6.2</v>
      </c>
      <c r="S162">
        <v>16.100000000000001</v>
      </c>
      <c r="T162">
        <v>29</v>
      </c>
      <c r="U162">
        <v>3.1</v>
      </c>
      <c r="V162">
        <v>0</v>
      </c>
      <c r="W162">
        <v>1.75</v>
      </c>
      <c r="X162">
        <f t="shared" si="2"/>
        <v>1</v>
      </c>
    </row>
    <row r="163" spans="10:24" x14ac:dyDescent="0.3">
      <c r="J163">
        <v>162</v>
      </c>
      <c r="K163">
        <v>6</v>
      </c>
      <c r="L163">
        <v>4</v>
      </c>
      <c r="M163" t="s">
        <v>41</v>
      </c>
      <c r="N163" t="s">
        <v>48</v>
      </c>
      <c r="O163">
        <v>95.2</v>
      </c>
      <c r="P163">
        <v>131.69999999999999</v>
      </c>
      <c r="Q163">
        <v>578.79999999999995</v>
      </c>
      <c r="R163">
        <v>10.4</v>
      </c>
      <c r="S163">
        <v>20.3</v>
      </c>
      <c r="T163">
        <v>41</v>
      </c>
      <c r="U163">
        <v>4</v>
      </c>
      <c r="V163">
        <v>0</v>
      </c>
      <c r="W163">
        <v>1.9</v>
      </c>
      <c r="X163">
        <f t="shared" si="2"/>
        <v>1</v>
      </c>
    </row>
    <row r="164" spans="10:24" x14ac:dyDescent="0.3">
      <c r="J164">
        <v>163</v>
      </c>
      <c r="K164">
        <v>6</v>
      </c>
      <c r="L164">
        <v>3</v>
      </c>
      <c r="M164" t="s">
        <v>35</v>
      </c>
      <c r="N164" t="s">
        <v>39</v>
      </c>
      <c r="O164">
        <v>90.6</v>
      </c>
      <c r="P164">
        <v>50.1</v>
      </c>
      <c r="Q164">
        <v>100.4</v>
      </c>
      <c r="R164">
        <v>7.8</v>
      </c>
      <c r="S164">
        <v>15.2</v>
      </c>
      <c r="T164">
        <v>31</v>
      </c>
      <c r="U164">
        <v>8.5</v>
      </c>
      <c r="V164">
        <v>0</v>
      </c>
      <c r="W164">
        <v>1.94</v>
      </c>
      <c r="X164">
        <f t="shared" si="2"/>
        <v>1</v>
      </c>
    </row>
    <row r="165" spans="10:24" x14ac:dyDescent="0.3">
      <c r="J165">
        <v>164</v>
      </c>
      <c r="K165">
        <v>8</v>
      </c>
      <c r="L165">
        <v>6</v>
      </c>
      <c r="M165" t="s">
        <v>43</v>
      </c>
      <c r="N165" t="s">
        <v>39</v>
      </c>
      <c r="O165">
        <v>92.5</v>
      </c>
      <c r="P165">
        <v>121.1</v>
      </c>
      <c r="Q165">
        <v>674.4</v>
      </c>
      <c r="R165">
        <v>8.6</v>
      </c>
      <c r="S165">
        <v>17.8</v>
      </c>
      <c r="T165">
        <v>56</v>
      </c>
      <c r="U165">
        <v>1.8</v>
      </c>
      <c r="V165">
        <v>0</v>
      </c>
      <c r="W165">
        <v>1.95</v>
      </c>
      <c r="X165">
        <f t="shared" si="2"/>
        <v>1</v>
      </c>
    </row>
    <row r="166" spans="10:24" x14ac:dyDescent="0.3">
      <c r="J166">
        <v>165</v>
      </c>
      <c r="K166">
        <v>8</v>
      </c>
      <c r="L166">
        <v>5</v>
      </c>
      <c r="M166" t="s">
        <v>43</v>
      </c>
      <c r="N166" t="s">
        <v>40</v>
      </c>
      <c r="O166">
        <v>89.7</v>
      </c>
      <c r="P166">
        <v>90</v>
      </c>
      <c r="Q166">
        <v>704.4</v>
      </c>
      <c r="R166">
        <v>4.8</v>
      </c>
      <c r="S166">
        <v>17.8</v>
      </c>
      <c r="T166">
        <v>67</v>
      </c>
      <c r="U166">
        <v>2.2000000000000002</v>
      </c>
      <c r="V166">
        <v>0</v>
      </c>
      <c r="W166">
        <v>2.0099999999999998</v>
      </c>
      <c r="X166">
        <f t="shared" si="2"/>
        <v>1</v>
      </c>
    </row>
    <row r="167" spans="10:24" x14ac:dyDescent="0.3">
      <c r="J167">
        <v>166</v>
      </c>
      <c r="K167">
        <v>6</v>
      </c>
      <c r="L167">
        <v>5</v>
      </c>
      <c r="M167" t="s">
        <v>35</v>
      </c>
      <c r="N167" t="s">
        <v>48</v>
      </c>
      <c r="O167">
        <v>84.9</v>
      </c>
      <c r="P167">
        <v>18.2</v>
      </c>
      <c r="Q167">
        <v>55</v>
      </c>
      <c r="R167">
        <v>3</v>
      </c>
      <c r="S167">
        <v>5.3</v>
      </c>
      <c r="T167">
        <v>70</v>
      </c>
      <c r="U167">
        <v>4.5</v>
      </c>
      <c r="V167">
        <v>0</v>
      </c>
      <c r="W167">
        <v>2.14</v>
      </c>
      <c r="X167">
        <f t="shared" si="2"/>
        <v>1</v>
      </c>
    </row>
    <row r="168" spans="10:24" x14ac:dyDescent="0.3">
      <c r="J168">
        <v>167</v>
      </c>
      <c r="K168">
        <v>6</v>
      </c>
      <c r="L168">
        <v>5</v>
      </c>
      <c r="M168" t="s">
        <v>41</v>
      </c>
      <c r="N168" t="s">
        <v>44</v>
      </c>
      <c r="O168">
        <v>92.1</v>
      </c>
      <c r="P168">
        <v>111.2</v>
      </c>
      <c r="Q168">
        <v>654.1</v>
      </c>
      <c r="R168">
        <v>9.6</v>
      </c>
      <c r="S168">
        <v>16.600000000000001</v>
      </c>
      <c r="T168">
        <v>47</v>
      </c>
      <c r="U168">
        <v>0.9</v>
      </c>
      <c r="V168">
        <v>0</v>
      </c>
      <c r="W168">
        <v>2.29</v>
      </c>
      <c r="X168">
        <f t="shared" si="2"/>
        <v>1</v>
      </c>
    </row>
    <row r="169" spans="10:24" x14ac:dyDescent="0.3">
      <c r="J169">
        <v>168</v>
      </c>
      <c r="K169">
        <v>6</v>
      </c>
      <c r="L169">
        <v>5</v>
      </c>
      <c r="M169" t="s">
        <v>41</v>
      </c>
      <c r="N169" t="s">
        <v>44</v>
      </c>
      <c r="O169">
        <v>96</v>
      </c>
      <c r="P169">
        <v>127.1</v>
      </c>
      <c r="Q169">
        <v>570.5</v>
      </c>
      <c r="R169">
        <v>16.5</v>
      </c>
      <c r="S169">
        <v>23.4</v>
      </c>
      <c r="T169">
        <v>33</v>
      </c>
      <c r="U169">
        <v>4.5</v>
      </c>
      <c r="V169">
        <v>0</v>
      </c>
      <c r="W169">
        <v>2.5099999999999998</v>
      </c>
      <c r="X169">
        <f t="shared" si="2"/>
        <v>1</v>
      </c>
    </row>
    <row r="170" spans="10:24" x14ac:dyDescent="0.3">
      <c r="J170">
        <v>169</v>
      </c>
      <c r="K170">
        <v>6</v>
      </c>
      <c r="L170">
        <v>5</v>
      </c>
      <c r="M170" t="s">
        <v>35</v>
      </c>
      <c r="N170" t="s">
        <v>36</v>
      </c>
      <c r="O170">
        <v>91.2</v>
      </c>
      <c r="P170">
        <v>48.3</v>
      </c>
      <c r="Q170">
        <v>97.8</v>
      </c>
      <c r="R170">
        <v>12.5</v>
      </c>
      <c r="S170">
        <v>14.6</v>
      </c>
      <c r="T170">
        <v>26</v>
      </c>
      <c r="U170">
        <v>9.4</v>
      </c>
      <c r="V170">
        <v>0</v>
      </c>
      <c r="W170">
        <v>2.5299999999999998</v>
      </c>
      <c r="X170">
        <f t="shared" si="2"/>
        <v>1</v>
      </c>
    </row>
    <row r="171" spans="10:24" x14ac:dyDescent="0.3">
      <c r="J171">
        <v>170</v>
      </c>
      <c r="K171">
        <v>8</v>
      </c>
      <c r="L171">
        <v>6</v>
      </c>
      <c r="M171" t="s">
        <v>41</v>
      </c>
      <c r="N171" t="s">
        <v>48</v>
      </c>
      <c r="O171">
        <v>95.2</v>
      </c>
      <c r="P171">
        <v>131.69999999999999</v>
      </c>
      <c r="Q171">
        <v>578.79999999999995</v>
      </c>
      <c r="R171">
        <v>10.4</v>
      </c>
      <c r="S171">
        <v>20.7</v>
      </c>
      <c r="T171">
        <v>45</v>
      </c>
      <c r="U171">
        <v>2.2000000000000002</v>
      </c>
      <c r="V171">
        <v>0</v>
      </c>
      <c r="W171">
        <v>2.5499999999999998</v>
      </c>
      <c r="X171">
        <f t="shared" si="2"/>
        <v>1</v>
      </c>
    </row>
    <row r="172" spans="10:24" x14ac:dyDescent="0.3">
      <c r="J172">
        <v>171</v>
      </c>
      <c r="K172">
        <v>5</v>
      </c>
      <c r="L172">
        <v>4</v>
      </c>
      <c r="M172" t="s">
        <v>43</v>
      </c>
      <c r="N172" t="s">
        <v>44</v>
      </c>
      <c r="O172">
        <v>92.9</v>
      </c>
      <c r="P172">
        <v>133.30000000000001</v>
      </c>
      <c r="Q172">
        <v>699.6</v>
      </c>
      <c r="R172">
        <v>9.1999999999999993</v>
      </c>
      <c r="S172">
        <v>21.9</v>
      </c>
      <c r="T172">
        <v>35</v>
      </c>
      <c r="U172">
        <v>1.8</v>
      </c>
      <c r="V172">
        <v>0</v>
      </c>
      <c r="W172">
        <v>2.57</v>
      </c>
      <c r="X172">
        <f t="shared" si="2"/>
        <v>1</v>
      </c>
    </row>
    <row r="173" spans="10:24" x14ac:dyDescent="0.3">
      <c r="J173">
        <v>172</v>
      </c>
      <c r="K173">
        <v>8</v>
      </c>
      <c r="L173">
        <v>6</v>
      </c>
      <c r="M173" t="s">
        <v>41</v>
      </c>
      <c r="N173" t="s">
        <v>44</v>
      </c>
      <c r="O173">
        <v>85.6</v>
      </c>
      <c r="P173">
        <v>90.4</v>
      </c>
      <c r="Q173">
        <v>609.6</v>
      </c>
      <c r="R173">
        <v>6.6</v>
      </c>
      <c r="S173">
        <v>17.399999999999999</v>
      </c>
      <c r="T173">
        <v>50</v>
      </c>
      <c r="U173">
        <v>4</v>
      </c>
      <c r="V173">
        <v>0</v>
      </c>
      <c r="W173">
        <v>2.69</v>
      </c>
      <c r="X173">
        <f t="shared" si="2"/>
        <v>1</v>
      </c>
    </row>
    <row r="174" spans="10:24" x14ac:dyDescent="0.3">
      <c r="J174">
        <v>173</v>
      </c>
      <c r="K174">
        <v>7</v>
      </c>
      <c r="L174">
        <v>4</v>
      </c>
      <c r="M174" t="s">
        <v>41</v>
      </c>
      <c r="N174" t="s">
        <v>40</v>
      </c>
      <c r="O174">
        <v>91.4</v>
      </c>
      <c r="P174">
        <v>142.4</v>
      </c>
      <c r="Q174">
        <v>601.4</v>
      </c>
      <c r="R174">
        <v>10.6</v>
      </c>
      <c r="S174">
        <v>20.100000000000001</v>
      </c>
      <c r="T174">
        <v>39</v>
      </c>
      <c r="U174">
        <v>5.4</v>
      </c>
      <c r="V174">
        <v>0</v>
      </c>
      <c r="W174">
        <v>2.74</v>
      </c>
      <c r="X174">
        <f t="shared" si="2"/>
        <v>1</v>
      </c>
    </row>
    <row r="175" spans="10:24" x14ac:dyDescent="0.3">
      <c r="J175">
        <v>174</v>
      </c>
      <c r="K175">
        <v>4</v>
      </c>
      <c r="L175">
        <v>4</v>
      </c>
      <c r="M175" t="s">
        <v>43</v>
      </c>
      <c r="N175" t="s">
        <v>42</v>
      </c>
      <c r="O175">
        <v>90.9</v>
      </c>
      <c r="P175">
        <v>126.5</v>
      </c>
      <c r="Q175">
        <v>686.5</v>
      </c>
      <c r="R175">
        <v>7</v>
      </c>
      <c r="S175">
        <v>17.7</v>
      </c>
      <c r="T175">
        <v>39</v>
      </c>
      <c r="U175">
        <v>2.2000000000000002</v>
      </c>
      <c r="V175">
        <v>0</v>
      </c>
      <c r="W175">
        <v>3.07</v>
      </c>
      <c r="X175">
        <f t="shared" si="2"/>
        <v>1</v>
      </c>
    </row>
    <row r="176" spans="10:24" x14ac:dyDescent="0.3">
      <c r="J176">
        <v>175</v>
      </c>
      <c r="K176">
        <v>1</v>
      </c>
      <c r="L176">
        <v>4</v>
      </c>
      <c r="M176" t="s">
        <v>41</v>
      </c>
      <c r="N176" t="s">
        <v>39</v>
      </c>
      <c r="O176">
        <v>90.2</v>
      </c>
      <c r="P176">
        <v>96.9</v>
      </c>
      <c r="Q176">
        <v>624.20000000000005</v>
      </c>
      <c r="R176">
        <v>8.9</v>
      </c>
      <c r="S176">
        <v>14.2</v>
      </c>
      <c r="T176">
        <v>53</v>
      </c>
      <c r="U176">
        <v>1.8</v>
      </c>
      <c r="V176">
        <v>0</v>
      </c>
      <c r="W176">
        <v>3.5</v>
      </c>
      <c r="X176">
        <f t="shared" si="2"/>
        <v>1</v>
      </c>
    </row>
    <row r="177" spans="10:24" x14ac:dyDescent="0.3">
      <c r="J177">
        <v>176</v>
      </c>
      <c r="K177">
        <v>1</v>
      </c>
      <c r="L177">
        <v>4</v>
      </c>
      <c r="M177" t="s">
        <v>41</v>
      </c>
      <c r="N177" t="s">
        <v>39</v>
      </c>
      <c r="O177">
        <v>90.2</v>
      </c>
      <c r="P177">
        <v>96.9</v>
      </c>
      <c r="Q177">
        <v>624.20000000000005</v>
      </c>
      <c r="R177">
        <v>8.9</v>
      </c>
      <c r="S177">
        <v>20.3</v>
      </c>
      <c r="T177">
        <v>39</v>
      </c>
      <c r="U177">
        <v>4.9000000000000004</v>
      </c>
      <c r="V177">
        <v>0</v>
      </c>
      <c r="W177">
        <v>4.53</v>
      </c>
      <c r="X177">
        <f t="shared" si="2"/>
        <v>1</v>
      </c>
    </row>
    <row r="178" spans="10:24" x14ac:dyDescent="0.3">
      <c r="J178">
        <v>177</v>
      </c>
      <c r="K178">
        <v>6</v>
      </c>
      <c r="L178">
        <v>5</v>
      </c>
      <c r="M178" t="s">
        <v>45</v>
      </c>
      <c r="N178" t="s">
        <v>48</v>
      </c>
      <c r="O178">
        <v>81.5</v>
      </c>
      <c r="P178">
        <v>9.1</v>
      </c>
      <c r="Q178">
        <v>55.2</v>
      </c>
      <c r="R178">
        <v>2.7</v>
      </c>
      <c r="S178">
        <v>5.8</v>
      </c>
      <c r="T178">
        <v>54</v>
      </c>
      <c r="U178">
        <v>5.8</v>
      </c>
      <c r="V178">
        <v>0</v>
      </c>
      <c r="W178">
        <v>4.6100000000000003</v>
      </c>
      <c r="X178">
        <f t="shared" si="2"/>
        <v>1</v>
      </c>
    </row>
    <row r="179" spans="10:24" x14ac:dyDescent="0.3">
      <c r="J179">
        <v>178</v>
      </c>
      <c r="K179">
        <v>2</v>
      </c>
      <c r="L179">
        <v>5</v>
      </c>
      <c r="M179" t="s">
        <v>41</v>
      </c>
      <c r="N179" t="s">
        <v>40</v>
      </c>
      <c r="O179">
        <v>90.2</v>
      </c>
      <c r="P179">
        <v>99.6</v>
      </c>
      <c r="Q179">
        <v>631.20000000000005</v>
      </c>
      <c r="R179">
        <v>6.3</v>
      </c>
      <c r="S179">
        <v>19.2</v>
      </c>
      <c r="T179">
        <v>44</v>
      </c>
      <c r="U179">
        <v>2.7</v>
      </c>
      <c r="V179">
        <v>0</v>
      </c>
      <c r="W179">
        <v>4.6900000000000004</v>
      </c>
      <c r="X179">
        <f t="shared" si="2"/>
        <v>1</v>
      </c>
    </row>
    <row r="180" spans="10:24" x14ac:dyDescent="0.3">
      <c r="J180">
        <v>179</v>
      </c>
      <c r="K180">
        <v>2</v>
      </c>
      <c r="L180">
        <v>5</v>
      </c>
      <c r="M180" t="s">
        <v>43</v>
      </c>
      <c r="N180" t="s">
        <v>44</v>
      </c>
      <c r="O180">
        <v>90.1</v>
      </c>
      <c r="P180">
        <v>82.9</v>
      </c>
      <c r="Q180">
        <v>735.7</v>
      </c>
      <c r="R180">
        <v>6.2</v>
      </c>
      <c r="S180">
        <v>18.3</v>
      </c>
      <c r="T180">
        <v>45</v>
      </c>
      <c r="U180">
        <v>2.2000000000000002</v>
      </c>
      <c r="V180">
        <v>0</v>
      </c>
      <c r="W180">
        <v>4.88</v>
      </c>
      <c r="X180">
        <f t="shared" si="2"/>
        <v>1</v>
      </c>
    </row>
    <row r="181" spans="10:24" x14ac:dyDescent="0.3">
      <c r="J181">
        <v>180</v>
      </c>
      <c r="K181">
        <v>8</v>
      </c>
      <c r="L181">
        <v>6</v>
      </c>
      <c r="M181" t="s">
        <v>41</v>
      </c>
      <c r="N181" t="s">
        <v>38</v>
      </c>
      <c r="O181">
        <v>88.8</v>
      </c>
      <c r="P181">
        <v>147.30000000000001</v>
      </c>
      <c r="Q181">
        <v>614.5</v>
      </c>
      <c r="R181">
        <v>9</v>
      </c>
      <c r="S181">
        <v>14.4</v>
      </c>
      <c r="T181">
        <v>66</v>
      </c>
      <c r="U181">
        <v>5.4</v>
      </c>
      <c r="V181">
        <v>0</v>
      </c>
      <c r="W181">
        <v>5.23</v>
      </c>
      <c r="X181">
        <f t="shared" si="2"/>
        <v>1</v>
      </c>
    </row>
    <row r="182" spans="10:24" x14ac:dyDescent="0.3">
      <c r="J182">
        <v>181</v>
      </c>
      <c r="K182">
        <v>1</v>
      </c>
      <c r="L182">
        <v>3</v>
      </c>
      <c r="M182" t="s">
        <v>43</v>
      </c>
      <c r="N182" t="s">
        <v>40</v>
      </c>
      <c r="O182">
        <v>92.4</v>
      </c>
      <c r="P182">
        <v>124.1</v>
      </c>
      <c r="Q182">
        <v>680.7</v>
      </c>
      <c r="R182">
        <v>8.5</v>
      </c>
      <c r="S182">
        <v>23.9</v>
      </c>
      <c r="T182">
        <v>32</v>
      </c>
      <c r="U182">
        <v>6.7</v>
      </c>
      <c r="V182">
        <v>0</v>
      </c>
      <c r="W182">
        <v>5.33</v>
      </c>
      <c r="X182">
        <f t="shared" si="2"/>
        <v>1</v>
      </c>
    </row>
    <row r="183" spans="10:24" x14ac:dyDescent="0.3">
      <c r="J183">
        <v>182</v>
      </c>
      <c r="K183">
        <v>8</v>
      </c>
      <c r="L183">
        <v>6</v>
      </c>
      <c r="M183" t="s">
        <v>37</v>
      </c>
      <c r="N183" t="s">
        <v>42</v>
      </c>
      <c r="O183">
        <v>84.9</v>
      </c>
      <c r="P183">
        <v>32.799999999999997</v>
      </c>
      <c r="Q183">
        <v>664.2</v>
      </c>
      <c r="R183">
        <v>3</v>
      </c>
      <c r="S183">
        <v>19.100000000000001</v>
      </c>
      <c r="T183">
        <v>32</v>
      </c>
      <c r="U183">
        <v>4</v>
      </c>
      <c r="V183">
        <v>0</v>
      </c>
      <c r="W183">
        <v>5.44</v>
      </c>
      <c r="X183">
        <f t="shared" si="2"/>
        <v>1</v>
      </c>
    </row>
    <row r="184" spans="10:24" x14ac:dyDescent="0.3">
      <c r="J184">
        <v>183</v>
      </c>
      <c r="K184">
        <v>5</v>
      </c>
      <c r="L184">
        <v>4</v>
      </c>
      <c r="M184" t="s">
        <v>49</v>
      </c>
      <c r="N184" t="s">
        <v>40</v>
      </c>
      <c r="O184">
        <v>86.8</v>
      </c>
      <c r="P184">
        <v>15.6</v>
      </c>
      <c r="Q184">
        <v>48.3</v>
      </c>
      <c r="R184">
        <v>3.9</v>
      </c>
      <c r="S184">
        <v>12.4</v>
      </c>
      <c r="T184">
        <v>53</v>
      </c>
      <c r="U184">
        <v>2.2000000000000002</v>
      </c>
      <c r="V184">
        <v>0</v>
      </c>
      <c r="W184">
        <v>6.38</v>
      </c>
      <c r="X184">
        <f t="shared" si="2"/>
        <v>1</v>
      </c>
    </row>
    <row r="185" spans="10:24" x14ac:dyDescent="0.3">
      <c r="J185">
        <v>184</v>
      </c>
      <c r="K185">
        <v>7</v>
      </c>
      <c r="L185">
        <v>4</v>
      </c>
      <c r="M185" t="s">
        <v>37</v>
      </c>
      <c r="N185" t="s">
        <v>42</v>
      </c>
      <c r="O185">
        <v>91.7</v>
      </c>
      <c r="P185">
        <v>48.5</v>
      </c>
      <c r="Q185">
        <v>696.1</v>
      </c>
      <c r="R185">
        <v>11.1</v>
      </c>
      <c r="S185">
        <v>16.8</v>
      </c>
      <c r="T185">
        <v>45</v>
      </c>
      <c r="U185">
        <v>4.5</v>
      </c>
      <c r="V185">
        <v>0</v>
      </c>
      <c r="W185">
        <v>6.83</v>
      </c>
      <c r="X185">
        <f t="shared" si="2"/>
        <v>1</v>
      </c>
    </row>
    <row r="186" spans="10:24" x14ac:dyDescent="0.3">
      <c r="J186">
        <v>185</v>
      </c>
      <c r="K186">
        <v>8</v>
      </c>
      <c r="L186">
        <v>6</v>
      </c>
      <c r="M186" t="s">
        <v>41</v>
      </c>
      <c r="N186" t="s">
        <v>36</v>
      </c>
      <c r="O186">
        <v>93.9</v>
      </c>
      <c r="P186">
        <v>135.69999999999999</v>
      </c>
      <c r="Q186">
        <v>586.70000000000005</v>
      </c>
      <c r="R186">
        <v>15.1</v>
      </c>
      <c r="S186">
        <v>20.8</v>
      </c>
      <c r="T186">
        <v>34</v>
      </c>
      <c r="U186">
        <v>4.9000000000000004</v>
      </c>
      <c r="V186">
        <v>0</v>
      </c>
      <c r="W186">
        <v>6.96</v>
      </c>
      <c r="X186">
        <f t="shared" si="2"/>
        <v>1</v>
      </c>
    </row>
    <row r="187" spans="10:24" x14ac:dyDescent="0.3">
      <c r="J187">
        <v>186</v>
      </c>
      <c r="K187">
        <v>2</v>
      </c>
      <c r="L187">
        <v>5</v>
      </c>
      <c r="M187" t="s">
        <v>43</v>
      </c>
      <c r="N187" t="s">
        <v>38</v>
      </c>
      <c r="O187">
        <v>91</v>
      </c>
      <c r="P187">
        <v>129.5</v>
      </c>
      <c r="Q187">
        <v>692.6</v>
      </c>
      <c r="R187">
        <v>7</v>
      </c>
      <c r="S187">
        <v>17.600000000000001</v>
      </c>
      <c r="T187">
        <v>46</v>
      </c>
      <c r="U187">
        <v>3.1</v>
      </c>
      <c r="V187">
        <v>0</v>
      </c>
      <c r="W187">
        <v>7.04</v>
      </c>
      <c r="X187">
        <f t="shared" si="2"/>
        <v>1</v>
      </c>
    </row>
    <row r="188" spans="10:24" x14ac:dyDescent="0.3">
      <c r="J188">
        <v>187</v>
      </c>
      <c r="K188">
        <v>8</v>
      </c>
      <c r="L188">
        <v>6</v>
      </c>
      <c r="M188" t="s">
        <v>35</v>
      </c>
      <c r="N188" t="s">
        <v>40</v>
      </c>
      <c r="O188">
        <v>89.3</v>
      </c>
      <c r="P188">
        <v>51.3</v>
      </c>
      <c r="Q188">
        <v>102.2</v>
      </c>
      <c r="R188">
        <v>9.6</v>
      </c>
      <c r="S188">
        <v>11.5</v>
      </c>
      <c r="T188">
        <v>39</v>
      </c>
      <c r="U188">
        <v>5.8</v>
      </c>
      <c r="V188">
        <v>0</v>
      </c>
      <c r="W188">
        <v>7.19</v>
      </c>
      <c r="X188">
        <f t="shared" si="2"/>
        <v>1</v>
      </c>
    </row>
    <row r="189" spans="10:24" x14ac:dyDescent="0.3">
      <c r="J189">
        <v>188</v>
      </c>
      <c r="K189">
        <v>1</v>
      </c>
      <c r="L189">
        <v>5</v>
      </c>
      <c r="M189" t="s">
        <v>43</v>
      </c>
      <c r="N189" t="s">
        <v>42</v>
      </c>
      <c r="O189">
        <v>90.9</v>
      </c>
      <c r="P189">
        <v>126.5</v>
      </c>
      <c r="Q189">
        <v>686.5</v>
      </c>
      <c r="R189">
        <v>7</v>
      </c>
      <c r="S189">
        <v>21</v>
      </c>
      <c r="T189">
        <v>42</v>
      </c>
      <c r="U189">
        <v>2.2000000000000002</v>
      </c>
      <c r="V189">
        <v>0</v>
      </c>
      <c r="W189">
        <v>7.3</v>
      </c>
      <c r="X189">
        <f t="shared" si="2"/>
        <v>1</v>
      </c>
    </row>
    <row r="190" spans="10:24" x14ac:dyDescent="0.3">
      <c r="J190">
        <v>189</v>
      </c>
      <c r="K190">
        <v>6</v>
      </c>
      <c r="L190">
        <v>4</v>
      </c>
      <c r="M190" t="s">
        <v>35</v>
      </c>
      <c r="N190" t="s">
        <v>39</v>
      </c>
      <c r="O190">
        <v>90.8</v>
      </c>
      <c r="P190">
        <v>41.9</v>
      </c>
      <c r="Q190">
        <v>89.4</v>
      </c>
      <c r="R190">
        <v>7.9</v>
      </c>
      <c r="S190">
        <v>13.3</v>
      </c>
      <c r="T190">
        <v>42</v>
      </c>
      <c r="U190">
        <v>0.9</v>
      </c>
      <c r="V190">
        <v>0</v>
      </c>
      <c r="W190">
        <v>7.4</v>
      </c>
      <c r="X190">
        <f t="shared" si="2"/>
        <v>1</v>
      </c>
    </row>
    <row r="191" spans="10:24" x14ac:dyDescent="0.3">
      <c r="J191">
        <v>190</v>
      </c>
      <c r="K191">
        <v>7</v>
      </c>
      <c r="L191">
        <v>4</v>
      </c>
      <c r="M191" t="s">
        <v>35</v>
      </c>
      <c r="N191" t="s">
        <v>40</v>
      </c>
      <c r="O191">
        <v>90.7</v>
      </c>
      <c r="P191">
        <v>44</v>
      </c>
      <c r="Q191">
        <v>92.4</v>
      </c>
      <c r="R191">
        <v>5.5</v>
      </c>
      <c r="S191">
        <v>11.5</v>
      </c>
      <c r="T191">
        <v>60</v>
      </c>
      <c r="U191">
        <v>4</v>
      </c>
      <c r="V191">
        <v>0</v>
      </c>
      <c r="W191">
        <v>8.24</v>
      </c>
      <c r="X191">
        <f t="shared" si="2"/>
        <v>1</v>
      </c>
    </row>
    <row r="192" spans="10:24" x14ac:dyDescent="0.3">
      <c r="J192">
        <v>191</v>
      </c>
      <c r="K192">
        <v>6</v>
      </c>
      <c r="L192">
        <v>5</v>
      </c>
      <c r="M192" t="s">
        <v>35</v>
      </c>
      <c r="N192" t="s">
        <v>36</v>
      </c>
      <c r="O192">
        <v>91.2</v>
      </c>
      <c r="P192">
        <v>48.3</v>
      </c>
      <c r="Q192">
        <v>97.8</v>
      </c>
      <c r="R192">
        <v>12.5</v>
      </c>
      <c r="S192">
        <v>11.7</v>
      </c>
      <c r="T192">
        <v>33</v>
      </c>
      <c r="U192">
        <v>4</v>
      </c>
      <c r="V192">
        <v>0</v>
      </c>
      <c r="W192">
        <v>8.31</v>
      </c>
      <c r="X192">
        <f t="shared" si="2"/>
        <v>1</v>
      </c>
    </row>
    <row r="193" spans="10:24" x14ac:dyDescent="0.3">
      <c r="J193">
        <v>192</v>
      </c>
      <c r="K193">
        <v>2</v>
      </c>
      <c r="L193">
        <v>5</v>
      </c>
      <c r="M193" t="s">
        <v>41</v>
      </c>
      <c r="N193" t="s">
        <v>48</v>
      </c>
      <c r="O193">
        <v>95.2</v>
      </c>
      <c r="P193">
        <v>131.69999999999999</v>
      </c>
      <c r="Q193">
        <v>578.79999999999995</v>
      </c>
      <c r="R193">
        <v>10.4</v>
      </c>
      <c r="S193">
        <v>24.2</v>
      </c>
      <c r="T193">
        <v>28</v>
      </c>
      <c r="U193">
        <v>2.7</v>
      </c>
      <c r="V193">
        <v>0</v>
      </c>
      <c r="W193">
        <v>8.68</v>
      </c>
      <c r="X193">
        <f t="shared" si="2"/>
        <v>1</v>
      </c>
    </row>
    <row r="194" spans="10:24" x14ac:dyDescent="0.3">
      <c r="J194">
        <v>193</v>
      </c>
      <c r="K194">
        <v>2</v>
      </c>
      <c r="L194">
        <v>2</v>
      </c>
      <c r="M194" t="s">
        <v>41</v>
      </c>
      <c r="N194" t="s">
        <v>38</v>
      </c>
      <c r="O194">
        <v>94.8</v>
      </c>
      <c r="P194">
        <v>108.3</v>
      </c>
      <c r="Q194">
        <v>647.1</v>
      </c>
      <c r="R194">
        <v>17</v>
      </c>
      <c r="S194">
        <v>24.6</v>
      </c>
      <c r="T194">
        <v>22</v>
      </c>
      <c r="U194">
        <v>4.5</v>
      </c>
      <c r="V194">
        <v>0</v>
      </c>
      <c r="W194">
        <v>8.7100000000000009</v>
      </c>
      <c r="X194">
        <f t="shared" si="2"/>
        <v>1</v>
      </c>
    </row>
    <row r="195" spans="10:24" x14ac:dyDescent="0.3">
      <c r="J195">
        <v>194</v>
      </c>
      <c r="K195">
        <v>4</v>
      </c>
      <c r="L195">
        <v>5</v>
      </c>
      <c r="M195" t="s">
        <v>43</v>
      </c>
      <c r="N195" t="s">
        <v>44</v>
      </c>
      <c r="O195">
        <v>92.9</v>
      </c>
      <c r="P195">
        <v>133.30000000000001</v>
      </c>
      <c r="Q195">
        <v>699.6</v>
      </c>
      <c r="R195">
        <v>9.1999999999999993</v>
      </c>
      <c r="S195">
        <v>24.3</v>
      </c>
      <c r="T195">
        <v>25</v>
      </c>
      <c r="U195">
        <v>4</v>
      </c>
      <c r="V195">
        <v>0</v>
      </c>
      <c r="W195">
        <v>9.41</v>
      </c>
      <c r="X195">
        <f t="shared" ref="X195:X258" si="3">IF(W195&gt;0,1,0)</f>
        <v>1</v>
      </c>
    </row>
    <row r="196" spans="10:24" x14ac:dyDescent="0.3">
      <c r="J196">
        <v>195</v>
      </c>
      <c r="K196">
        <v>2</v>
      </c>
      <c r="L196">
        <v>2</v>
      </c>
      <c r="M196" t="s">
        <v>41</v>
      </c>
      <c r="N196" t="s">
        <v>38</v>
      </c>
      <c r="O196">
        <v>94.8</v>
      </c>
      <c r="P196">
        <v>108.3</v>
      </c>
      <c r="Q196">
        <v>647.1</v>
      </c>
      <c r="R196">
        <v>17</v>
      </c>
      <c r="S196">
        <v>24.6</v>
      </c>
      <c r="T196">
        <v>22</v>
      </c>
      <c r="U196">
        <v>4.5</v>
      </c>
      <c r="V196">
        <v>0</v>
      </c>
      <c r="W196">
        <v>10.01</v>
      </c>
      <c r="X196">
        <f t="shared" si="3"/>
        <v>1</v>
      </c>
    </row>
    <row r="197" spans="10:24" x14ac:dyDescent="0.3">
      <c r="J197">
        <v>196</v>
      </c>
      <c r="K197">
        <v>2</v>
      </c>
      <c r="L197">
        <v>5</v>
      </c>
      <c r="M197" t="s">
        <v>41</v>
      </c>
      <c r="N197" t="s">
        <v>36</v>
      </c>
      <c r="O197">
        <v>93.9</v>
      </c>
      <c r="P197">
        <v>135.69999999999999</v>
      </c>
      <c r="Q197">
        <v>586.70000000000005</v>
      </c>
      <c r="R197">
        <v>15.1</v>
      </c>
      <c r="S197">
        <v>23.5</v>
      </c>
      <c r="T197">
        <v>36</v>
      </c>
      <c r="U197">
        <v>5.4</v>
      </c>
      <c r="V197">
        <v>0</v>
      </c>
      <c r="W197">
        <v>10.02</v>
      </c>
      <c r="X197">
        <f t="shared" si="3"/>
        <v>1</v>
      </c>
    </row>
    <row r="198" spans="10:24" x14ac:dyDescent="0.3">
      <c r="J198">
        <v>197</v>
      </c>
      <c r="K198">
        <v>6</v>
      </c>
      <c r="L198">
        <v>5</v>
      </c>
      <c r="M198" t="s">
        <v>45</v>
      </c>
      <c r="N198" t="s">
        <v>48</v>
      </c>
      <c r="O198">
        <v>81.5</v>
      </c>
      <c r="P198">
        <v>9.1</v>
      </c>
      <c r="Q198">
        <v>55.2</v>
      </c>
      <c r="R198">
        <v>2.7</v>
      </c>
      <c r="S198">
        <v>5.8</v>
      </c>
      <c r="T198">
        <v>54</v>
      </c>
      <c r="U198">
        <v>5.8</v>
      </c>
      <c r="V198">
        <v>0</v>
      </c>
      <c r="W198">
        <v>10.93</v>
      </c>
      <c r="X198">
        <f t="shared" si="3"/>
        <v>1</v>
      </c>
    </row>
    <row r="199" spans="10:24" x14ac:dyDescent="0.3">
      <c r="J199">
        <v>198</v>
      </c>
      <c r="K199">
        <v>4</v>
      </c>
      <c r="L199">
        <v>5</v>
      </c>
      <c r="M199" t="s">
        <v>43</v>
      </c>
      <c r="N199" t="s">
        <v>48</v>
      </c>
      <c r="O199">
        <v>92.9</v>
      </c>
      <c r="P199">
        <v>137</v>
      </c>
      <c r="Q199">
        <v>706.4</v>
      </c>
      <c r="R199">
        <v>9.1999999999999993</v>
      </c>
      <c r="S199">
        <v>21.5</v>
      </c>
      <c r="T199">
        <v>15</v>
      </c>
      <c r="U199">
        <v>0.9</v>
      </c>
      <c r="V199">
        <v>0</v>
      </c>
      <c r="W199">
        <v>11.06</v>
      </c>
      <c r="X199">
        <f t="shared" si="3"/>
        <v>1</v>
      </c>
    </row>
    <row r="200" spans="10:24" x14ac:dyDescent="0.3">
      <c r="J200">
        <v>199</v>
      </c>
      <c r="K200">
        <v>3</v>
      </c>
      <c r="L200">
        <v>4</v>
      </c>
      <c r="M200" t="s">
        <v>43</v>
      </c>
      <c r="N200" t="s">
        <v>38</v>
      </c>
      <c r="O200">
        <v>91</v>
      </c>
      <c r="P200">
        <v>129.5</v>
      </c>
      <c r="Q200">
        <v>692.6</v>
      </c>
      <c r="R200">
        <v>7</v>
      </c>
      <c r="S200">
        <v>13.9</v>
      </c>
      <c r="T200">
        <v>59</v>
      </c>
      <c r="U200">
        <v>6.3</v>
      </c>
      <c r="V200">
        <v>0</v>
      </c>
      <c r="W200">
        <v>11.24</v>
      </c>
      <c r="X200">
        <f t="shared" si="3"/>
        <v>1</v>
      </c>
    </row>
    <row r="201" spans="10:24" x14ac:dyDescent="0.3">
      <c r="J201">
        <v>200</v>
      </c>
      <c r="K201">
        <v>2</v>
      </c>
      <c r="L201">
        <v>4</v>
      </c>
      <c r="M201" t="s">
        <v>43</v>
      </c>
      <c r="N201" t="s">
        <v>42</v>
      </c>
      <c r="O201">
        <v>63.5</v>
      </c>
      <c r="P201">
        <v>70.8</v>
      </c>
      <c r="Q201">
        <v>665.3</v>
      </c>
      <c r="R201">
        <v>0.8</v>
      </c>
      <c r="S201">
        <v>22.6</v>
      </c>
      <c r="T201">
        <v>38</v>
      </c>
      <c r="U201">
        <v>3.6</v>
      </c>
      <c r="V201">
        <v>0</v>
      </c>
      <c r="W201">
        <v>11.32</v>
      </c>
      <c r="X201">
        <f t="shared" si="3"/>
        <v>1</v>
      </c>
    </row>
    <row r="202" spans="10:24" x14ac:dyDescent="0.3">
      <c r="J202">
        <v>201</v>
      </c>
      <c r="K202">
        <v>1</v>
      </c>
      <c r="L202">
        <v>5</v>
      </c>
      <c r="M202" t="s">
        <v>43</v>
      </c>
      <c r="N202" t="s">
        <v>38</v>
      </c>
      <c r="O202">
        <v>91</v>
      </c>
      <c r="P202">
        <v>129.5</v>
      </c>
      <c r="Q202">
        <v>692.6</v>
      </c>
      <c r="R202">
        <v>7</v>
      </c>
      <c r="S202">
        <v>21.6</v>
      </c>
      <c r="T202">
        <v>33</v>
      </c>
      <c r="U202">
        <v>2.2000000000000002</v>
      </c>
      <c r="V202">
        <v>0</v>
      </c>
      <c r="W202">
        <v>11.53</v>
      </c>
      <c r="X202">
        <f t="shared" si="3"/>
        <v>1</v>
      </c>
    </row>
    <row r="203" spans="10:24" x14ac:dyDescent="0.3">
      <c r="J203">
        <v>202</v>
      </c>
      <c r="K203">
        <v>6</v>
      </c>
      <c r="L203">
        <v>5</v>
      </c>
      <c r="M203" t="s">
        <v>35</v>
      </c>
      <c r="N203" t="s">
        <v>40</v>
      </c>
      <c r="O203">
        <v>90.1</v>
      </c>
      <c r="P203">
        <v>37.6</v>
      </c>
      <c r="Q203">
        <v>83.7</v>
      </c>
      <c r="R203">
        <v>7.2</v>
      </c>
      <c r="S203">
        <v>12.4</v>
      </c>
      <c r="T203">
        <v>54</v>
      </c>
      <c r="U203">
        <v>3.6</v>
      </c>
      <c r="V203">
        <v>0</v>
      </c>
      <c r="W203">
        <v>12.1</v>
      </c>
      <c r="X203">
        <f t="shared" si="3"/>
        <v>1</v>
      </c>
    </row>
    <row r="204" spans="10:24" x14ac:dyDescent="0.3">
      <c r="J204">
        <v>203</v>
      </c>
      <c r="K204">
        <v>7</v>
      </c>
      <c r="L204">
        <v>4</v>
      </c>
      <c r="M204" t="s">
        <v>49</v>
      </c>
      <c r="N204" t="s">
        <v>40</v>
      </c>
      <c r="O204">
        <v>83.9</v>
      </c>
      <c r="P204">
        <v>8.6999999999999993</v>
      </c>
      <c r="Q204">
        <v>32.1</v>
      </c>
      <c r="R204">
        <v>2.1</v>
      </c>
      <c r="S204">
        <v>8.8000000000000007</v>
      </c>
      <c r="T204">
        <v>68</v>
      </c>
      <c r="U204">
        <v>2.2000000000000002</v>
      </c>
      <c r="V204">
        <v>0</v>
      </c>
      <c r="W204">
        <v>13.05</v>
      </c>
      <c r="X204">
        <f t="shared" si="3"/>
        <v>1</v>
      </c>
    </row>
    <row r="205" spans="10:24" x14ac:dyDescent="0.3">
      <c r="J205">
        <v>204</v>
      </c>
      <c r="K205">
        <v>8</v>
      </c>
      <c r="L205">
        <v>6</v>
      </c>
      <c r="M205" t="s">
        <v>37</v>
      </c>
      <c r="N205" t="s">
        <v>44</v>
      </c>
      <c r="O205">
        <v>91.4</v>
      </c>
      <c r="P205">
        <v>37.9</v>
      </c>
      <c r="Q205">
        <v>673.8</v>
      </c>
      <c r="R205">
        <v>5.2</v>
      </c>
      <c r="S205">
        <v>20.2</v>
      </c>
      <c r="T205">
        <v>37</v>
      </c>
      <c r="U205">
        <v>2.7</v>
      </c>
      <c r="V205">
        <v>0</v>
      </c>
      <c r="W205">
        <v>13.7</v>
      </c>
      <c r="X205">
        <f t="shared" si="3"/>
        <v>1</v>
      </c>
    </row>
    <row r="206" spans="10:24" x14ac:dyDescent="0.3">
      <c r="J206">
        <v>205</v>
      </c>
      <c r="K206">
        <v>5</v>
      </c>
      <c r="L206">
        <v>6</v>
      </c>
      <c r="M206" t="s">
        <v>35</v>
      </c>
      <c r="N206" t="s">
        <v>39</v>
      </c>
      <c r="O206">
        <v>90.6</v>
      </c>
      <c r="P206">
        <v>50.1</v>
      </c>
      <c r="Q206">
        <v>100.4</v>
      </c>
      <c r="R206">
        <v>7.8</v>
      </c>
      <c r="S206">
        <v>15.1</v>
      </c>
      <c r="T206">
        <v>64</v>
      </c>
      <c r="U206">
        <v>4</v>
      </c>
      <c r="V206">
        <v>0</v>
      </c>
      <c r="W206">
        <v>13.99</v>
      </c>
      <c r="X206">
        <f t="shared" si="3"/>
        <v>1</v>
      </c>
    </row>
    <row r="207" spans="10:24" x14ac:dyDescent="0.3">
      <c r="J207">
        <v>206</v>
      </c>
      <c r="K207">
        <v>4</v>
      </c>
      <c r="L207">
        <v>5</v>
      </c>
      <c r="M207" t="s">
        <v>43</v>
      </c>
      <c r="N207" t="s">
        <v>48</v>
      </c>
      <c r="O207">
        <v>92.9</v>
      </c>
      <c r="P207">
        <v>137</v>
      </c>
      <c r="Q207">
        <v>706.4</v>
      </c>
      <c r="R207">
        <v>9.1999999999999993</v>
      </c>
      <c r="S207">
        <v>22.1</v>
      </c>
      <c r="T207">
        <v>34</v>
      </c>
      <c r="U207">
        <v>1.8</v>
      </c>
      <c r="V207">
        <v>0</v>
      </c>
      <c r="W207">
        <v>14.57</v>
      </c>
      <c r="X207">
        <f t="shared" si="3"/>
        <v>1</v>
      </c>
    </row>
    <row r="208" spans="10:24" x14ac:dyDescent="0.3">
      <c r="J208">
        <v>207</v>
      </c>
      <c r="K208">
        <v>2</v>
      </c>
      <c r="L208">
        <v>2</v>
      </c>
      <c r="M208" t="s">
        <v>41</v>
      </c>
      <c r="N208" t="s">
        <v>39</v>
      </c>
      <c r="O208">
        <v>93.5</v>
      </c>
      <c r="P208">
        <v>139.4</v>
      </c>
      <c r="Q208">
        <v>594.20000000000005</v>
      </c>
      <c r="R208">
        <v>20.3</v>
      </c>
      <c r="S208">
        <v>22.9</v>
      </c>
      <c r="T208">
        <v>31</v>
      </c>
      <c r="U208">
        <v>7.2</v>
      </c>
      <c r="V208">
        <v>0</v>
      </c>
      <c r="W208">
        <v>15.45</v>
      </c>
      <c r="X208">
        <f t="shared" si="3"/>
        <v>1</v>
      </c>
    </row>
    <row r="209" spans="10:24" x14ac:dyDescent="0.3">
      <c r="J209">
        <v>208</v>
      </c>
      <c r="K209">
        <v>7</v>
      </c>
      <c r="L209">
        <v>5</v>
      </c>
      <c r="M209" t="s">
        <v>43</v>
      </c>
      <c r="N209" t="s">
        <v>38</v>
      </c>
      <c r="O209">
        <v>91</v>
      </c>
      <c r="P209">
        <v>129.5</v>
      </c>
      <c r="Q209">
        <v>692.6</v>
      </c>
      <c r="R209">
        <v>7</v>
      </c>
      <c r="S209">
        <v>20.7</v>
      </c>
      <c r="T209">
        <v>37</v>
      </c>
      <c r="U209">
        <v>2.2000000000000002</v>
      </c>
      <c r="V209">
        <v>0</v>
      </c>
      <c r="W209">
        <v>17.2</v>
      </c>
      <c r="X209">
        <f t="shared" si="3"/>
        <v>1</v>
      </c>
    </row>
    <row r="210" spans="10:24" x14ac:dyDescent="0.3">
      <c r="J210">
        <v>209</v>
      </c>
      <c r="K210">
        <v>6</v>
      </c>
      <c r="L210">
        <v>5</v>
      </c>
      <c r="M210" t="s">
        <v>43</v>
      </c>
      <c r="N210" t="s">
        <v>36</v>
      </c>
      <c r="O210">
        <v>92.4</v>
      </c>
      <c r="P210">
        <v>117.9</v>
      </c>
      <c r="Q210">
        <v>668</v>
      </c>
      <c r="R210">
        <v>12.2</v>
      </c>
      <c r="S210">
        <v>19.600000000000001</v>
      </c>
      <c r="T210">
        <v>33</v>
      </c>
      <c r="U210">
        <v>6.3</v>
      </c>
      <c r="V210">
        <v>0</v>
      </c>
      <c r="W210">
        <v>19.23</v>
      </c>
      <c r="X210">
        <f t="shared" si="3"/>
        <v>1</v>
      </c>
    </row>
    <row r="211" spans="10:24" x14ac:dyDescent="0.3">
      <c r="J211">
        <v>210</v>
      </c>
      <c r="K211">
        <v>8</v>
      </c>
      <c r="L211">
        <v>3</v>
      </c>
      <c r="M211" t="s">
        <v>43</v>
      </c>
      <c r="N211" t="s">
        <v>48</v>
      </c>
      <c r="O211">
        <v>93.7</v>
      </c>
      <c r="P211">
        <v>80.900000000000006</v>
      </c>
      <c r="Q211">
        <v>685.2</v>
      </c>
      <c r="R211">
        <v>17.899999999999999</v>
      </c>
      <c r="S211">
        <v>23.2</v>
      </c>
      <c r="T211">
        <v>26</v>
      </c>
      <c r="U211">
        <v>4.9000000000000004</v>
      </c>
      <c r="V211">
        <v>0</v>
      </c>
      <c r="W211">
        <v>23.41</v>
      </c>
      <c r="X211">
        <f t="shared" si="3"/>
        <v>1</v>
      </c>
    </row>
    <row r="212" spans="10:24" x14ac:dyDescent="0.3">
      <c r="J212">
        <v>211</v>
      </c>
      <c r="K212">
        <v>4</v>
      </c>
      <c r="L212">
        <v>4</v>
      </c>
      <c r="M212" t="s">
        <v>37</v>
      </c>
      <c r="N212" t="s">
        <v>39</v>
      </c>
      <c r="O212">
        <v>90.6</v>
      </c>
      <c r="P212">
        <v>43.7</v>
      </c>
      <c r="Q212">
        <v>686.9</v>
      </c>
      <c r="R212">
        <v>6.7</v>
      </c>
      <c r="S212">
        <v>18.399999999999999</v>
      </c>
      <c r="T212">
        <v>25</v>
      </c>
      <c r="U212">
        <v>3.1</v>
      </c>
      <c r="V212">
        <v>0</v>
      </c>
      <c r="W212">
        <v>24.23</v>
      </c>
      <c r="X212">
        <f t="shared" si="3"/>
        <v>1</v>
      </c>
    </row>
    <row r="213" spans="10:24" x14ac:dyDescent="0.3">
      <c r="J213">
        <v>212</v>
      </c>
      <c r="K213">
        <v>7</v>
      </c>
      <c r="L213">
        <v>4</v>
      </c>
      <c r="M213" t="s">
        <v>41</v>
      </c>
      <c r="N213" t="s">
        <v>39</v>
      </c>
      <c r="O213">
        <v>93.5</v>
      </c>
      <c r="P213">
        <v>139.4</v>
      </c>
      <c r="Q213">
        <v>594.20000000000005</v>
      </c>
      <c r="R213">
        <v>20.3</v>
      </c>
      <c r="S213">
        <v>5.0999999999999996</v>
      </c>
      <c r="T213">
        <v>96</v>
      </c>
      <c r="U213">
        <v>5.8</v>
      </c>
      <c r="V213">
        <v>0</v>
      </c>
      <c r="W213">
        <v>26</v>
      </c>
      <c r="X213">
        <f t="shared" si="3"/>
        <v>1</v>
      </c>
    </row>
    <row r="214" spans="10:24" x14ac:dyDescent="0.3">
      <c r="J214">
        <v>213</v>
      </c>
      <c r="K214">
        <v>7</v>
      </c>
      <c r="L214">
        <v>4</v>
      </c>
      <c r="M214" t="s">
        <v>43</v>
      </c>
      <c r="N214" t="s">
        <v>36</v>
      </c>
      <c r="O214">
        <v>94.3</v>
      </c>
      <c r="P214">
        <v>85.1</v>
      </c>
      <c r="Q214">
        <v>692.3</v>
      </c>
      <c r="R214">
        <v>15.9</v>
      </c>
      <c r="S214">
        <v>20.100000000000001</v>
      </c>
      <c r="T214">
        <v>47</v>
      </c>
      <c r="U214">
        <v>4.9000000000000004</v>
      </c>
      <c r="V214">
        <v>0</v>
      </c>
      <c r="W214">
        <v>26.13</v>
      </c>
      <c r="X214">
        <f t="shared" si="3"/>
        <v>1</v>
      </c>
    </row>
    <row r="215" spans="10:24" x14ac:dyDescent="0.3">
      <c r="J215">
        <v>214</v>
      </c>
      <c r="K215">
        <v>7</v>
      </c>
      <c r="L215">
        <v>3</v>
      </c>
      <c r="M215" t="s">
        <v>35</v>
      </c>
      <c r="N215" t="s">
        <v>42</v>
      </c>
      <c r="O215">
        <v>87.6</v>
      </c>
      <c r="P215">
        <v>52.2</v>
      </c>
      <c r="Q215">
        <v>103.8</v>
      </c>
      <c r="R215">
        <v>5</v>
      </c>
      <c r="S215">
        <v>11</v>
      </c>
      <c r="T215">
        <v>46</v>
      </c>
      <c r="U215">
        <v>5.8</v>
      </c>
      <c r="V215">
        <v>0</v>
      </c>
      <c r="W215">
        <v>27.35</v>
      </c>
      <c r="X215">
        <f t="shared" si="3"/>
        <v>1</v>
      </c>
    </row>
    <row r="216" spans="10:24" x14ac:dyDescent="0.3">
      <c r="J216">
        <v>215</v>
      </c>
      <c r="K216">
        <v>4</v>
      </c>
      <c r="L216">
        <v>4</v>
      </c>
      <c r="M216" t="s">
        <v>35</v>
      </c>
      <c r="N216" t="s">
        <v>39</v>
      </c>
      <c r="O216">
        <v>91.7</v>
      </c>
      <c r="P216">
        <v>35.799999999999997</v>
      </c>
      <c r="Q216">
        <v>80.8</v>
      </c>
      <c r="R216">
        <v>7.8</v>
      </c>
      <c r="S216">
        <v>17</v>
      </c>
      <c r="T216">
        <v>27</v>
      </c>
      <c r="U216">
        <v>4.9000000000000004</v>
      </c>
      <c r="V216">
        <v>0</v>
      </c>
      <c r="W216">
        <v>28.66</v>
      </c>
      <c r="X216">
        <f t="shared" si="3"/>
        <v>1</v>
      </c>
    </row>
    <row r="217" spans="10:24" x14ac:dyDescent="0.3">
      <c r="J217">
        <v>216</v>
      </c>
      <c r="K217">
        <v>4</v>
      </c>
      <c r="L217">
        <v>4</v>
      </c>
      <c r="M217" t="s">
        <v>35</v>
      </c>
      <c r="N217" t="s">
        <v>39</v>
      </c>
      <c r="O217">
        <v>91.7</v>
      </c>
      <c r="P217">
        <v>35.799999999999997</v>
      </c>
      <c r="Q217">
        <v>80.8</v>
      </c>
      <c r="R217">
        <v>7.8</v>
      </c>
      <c r="S217">
        <v>17</v>
      </c>
      <c r="T217">
        <v>27</v>
      </c>
      <c r="U217">
        <v>4.9000000000000004</v>
      </c>
      <c r="V217">
        <v>0</v>
      </c>
      <c r="W217">
        <v>28.66</v>
      </c>
      <c r="X217">
        <f t="shared" si="3"/>
        <v>1</v>
      </c>
    </row>
    <row r="218" spans="10:24" x14ac:dyDescent="0.3">
      <c r="J218">
        <v>217</v>
      </c>
      <c r="K218">
        <v>4</v>
      </c>
      <c r="L218">
        <v>4</v>
      </c>
      <c r="M218" t="s">
        <v>43</v>
      </c>
      <c r="N218" t="s">
        <v>40</v>
      </c>
      <c r="O218">
        <v>92.4</v>
      </c>
      <c r="P218">
        <v>124.1</v>
      </c>
      <c r="Q218">
        <v>680.7</v>
      </c>
      <c r="R218">
        <v>8.5</v>
      </c>
      <c r="S218">
        <v>16.899999999999999</v>
      </c>
      <c r="T218">
        <v>60</v>
      </c>
      <c r="U218">
        <v>1.3</v>
      </c>
      <c r="V218">
        <v>0</v>
      </c>
      <c r="W218">
        <v>29.48</v>
      </c>
      <c r="X218">
        <f t="shared" si="3"/>
        <v>1</v>
      </c>
    </row>
    <row r="219" spans="10:24" x14ac:dyDescent="0.3">
      <c r="J219">
        <v>218</v>
      </c>
      <c r="K219">
        <v>1</v>
      </c>
      <c r="L219">
        <v>3</v>
      </c>
      <c r="M219" t="s">
        <v>43</v>
      </c>
      <c r="N219" t="s">
        <v>42</v>
      </c>
      <c r="O219">
        <v>88.6</v>
      </c>
      <c r="P219">
        <v>91.8</v>
      </c>
      <c r="Q219">
        <v>709.9</v>
      </c>
      <c r="R219">
        <v>7.1</v>
      </c>
      <c r="S219">
        <v>12.4</v>
      </c>
      <c r="T219">
        <v>73</v>
      </c>
      <c r="U219">
        <v>6.3</v>
      </c>
      <c r="V219">
        <v>0</v>
      </c>
      <c r="W219">
        <v>30.32</v>
      </c>
      <c r="X219">
        <f t="shared" si="3"/>
        <v>1</v>
      </c>
    </row>
    <row r="220" spans="10:24" x14ac:dyDescent="0.3">
      <c r="J220">
        <v>219</v>
      </c>
      <c r="K220">
        <v>4</v>
      </c>
      <c r="L220">
        <v>5</v>
      </c>
      <c r="M220" t="s">
        <v>43</v>
      </c>
      <c r="N220" t="s">
        <v>44</v>
      </c>
      <c r="O220">
        <v>92.9</v>
      </c>
      <c r="P220">
        <v>133.30000000000001</v>
      </c>
      <c r="Q220">
        <v>699.6</v>
      </c>
      <c r="R220">
        <v>9.1999999999999993</v>
      </c>
      <c r="S220">
        <v>19.399999999999999</v>
      </c>
      <c r="T220">
        <v>19</v>
      </c>
      <c r="U220">
        <v>1.3</v>
      </c>
      <c r="V220">
        <v>0</v>
      </c>
      <c r="W220">
        <v>31.72</v>
      </c>
      <c r="X220">
        <f t="shared" si="3"/>
        <v>1</v>
      </c>
    </row>
    <row r="221" spans="10:24" x14ac:dyDescent="0.3">
      <c r="J221">
        <v>220</v>
      </c>
      <c r="K221">
        <v>6</v>
      </c>
      <c r="L221">
        <v>5</v>
      </c>
      <c r="M221" t="s">
        <v>35</v>
      </c>
      <c r="N221" t="s">
        <v>42</v>
      </c>
      <c r="O221">
        <v>90.1</v>
      </c>
      <c r="P221">
        <v>39.700000000000003</v>
      </c>
      <c r="Q221">
        <v>86.6</v>
      </c>
      <c r="R221">
        <v>6.2</v>
      </c>
      <c r="S221">
        <v>15.2</v>
      </c>
      <c r="T221">
        <v>27</v>
      </c>
      <c r="U221">
        <v>3.1</v>
      </c>
      <c r="V221">
        <v>0</v>
      </c>
      <c r="W221">
        <v>31.86</v>
      </c>
      <c r="X221">
        <f t="shared" si="3"/>
        <v>1</v>
      </c>
    </row>
    <row r="222" spans="10:24" x14ac:dyDescent="0.3">
      <c r="J222">
        <v>221</v>
      </c>
      <c r="K222">
        <v>8</v>
      </c>
      <c r="L222">
        <v>6</v>
      </c>
      <c r="M222" t="s">
        <v>41</v>
      </c>
      <c r="N222" t="s">
        <v>40</v>
      </c>
      <c r="O222">
        <v>90.2</v>
      </c>
      <c r="P222">
        <v>99.6</v>
      </c>
      <c r="Q222">
        <v>631.20000000000005</v>
      </c>
      <c r="R222">
        <v>6.3</v>
      </c>
      <c r="S222">
        <v>16.2</v>
      </c>
      <c r="T222">
        <v>59</v>
      </c>
      <c r="U222">
        <v>3.1</v>
      </c>
      <c r="V222">
        <v>0</v>
      </c>
      <c r="W222">
        <v>32.07</v>
      </c>
      <c r="X222">
        <f t="shared" si="3"/>
        <v>1</v>
      </c>
    </row>
    <row r="223" spans="10:24" x14ac:dyDescent="0.3">
      <c r="J223">
        <v>222</v>
      </c>
      <c r="K223">
        <v>3</v>
      </c>
      <c r="L223">
        <v>4</v>
      </c>
      <c r="M223" t="s">
        <v>43</v>
      </c>
      <c r="N223" t="s">
        <v>36</v>
      </c>
      <c r="O223">
        <v>93.3</v>
      </c>
      <c r="P223">
        <v>141.19999999999999</v>
      </c>
      <c r="Q223">
        <v>713.9</v>
      </c>
      <c r="R223">
        <v>13.9</v>
      </c>
      <c r="S223">
        <v>18.600000000000001</v>
      </c>
      <c r="T223">
        <v>49</v>
      </c>
      <c r="U223">
        <v>3.6</v>
      </c>
      <c r="V223">
        <v>0</v>
      </c>
      <c r="W223">
        <v>35.880000000000003</v>
      </c>
      <c r="X223">
        <f t="shared" si="3"/>
        <v>1</v>
      </c>
    </row>
    <row r="224" spans="10:24" x14ac:dyDescent="0.3">
      <c r="J224">
        <v>223</v>
      </c>
      <c r="K224">
        <v>4</v>
      </c>
      <c r="L224">
        <v>3</v>
      </c>
      <c r="M224" t="s">
        <v>35</v>
      </c>
      <c r="N224" t="s">
        <v>42</v>
      </c>
      <c r="O224">
        <v>87.6</v>
      </c>
      <c r="P224">
        <v>52.2</v>
      </c>
      <c r="Q224">
        <v>103.8</v>
      </c>
      <c r="R224">
        <v>5</v>
      </c>
      <c r="S224">
        <v>11</v>
      </c>
      <c r="T224">
        <v>46</v>
      </c>
      <c r="U224">
        <v>5.8</v>
      </c>
      <c r="V224">
        <v>0</v>
      </c>
      <c r="W224">
        <v>36.85</v>
      </c>
      <c r="X224">
        <f t="shared" si="3"/>
        <v>1</v>
      </c>
    </row>
    <row r="225" spans="10:24" x14ac:dyDescent="0.3">
      <c r="J225">
        <v>224</v>
      </c>
      <c r="K225">
        <v>2</v>
      </c>
      <c r="L225">
        <v>2</v>
      </c>
      <c r="M225" t="s">
        <v>47</v>
      </c>
      <c r="N225" t="s">
        <v>36</v>
      </c>
      <c r="O225">
        <v>88.3</v>
      </c>
      <c r="P225">
        <v>150.30000000000001</v>
      </c>
      <c r="Q225">
        <v>309.89999999999998</v>
      </c>
      <c r="R225">
        <v>6.8</v>
      </c>
      <c r="S225">
        <v>13.4</v>
      </c>
      <c r="T225">
        <v>79</v>
      </c>
      <c r="U225">
        <v>3.6</v>
      </c>
      <c r="V225">
        <v>0</v>
      </c>
      <c r="W225">
        <v>37.020000000000003</v>
      </c>
      <c r="X225">
        <f t="shared" si="3"/>
        <v>1</v>
      </c>
    </row>
    <row r="226" spans="10:24" x14ac:dyDescent="0.3">
      <c r="J226">
        <v>225</v>
      </c>
      <c r="K226">
        <v>7</v>
      </c>
      <c r="L226">
        <v>4</v>
      </c>
      <c r="M226" t="s">
        <v>43</v>
      </c>
      <c r="N226" t="s">
        <v>44</v>
      </c>
      <c r="O226">
        <v>90.1</v>
      </c>
      <c r="P226">
        <v>82.9</v>
      </c>
      <c r="Q226">
        <v>735.7</v>
      </c>
      <c r="R226">
        <v>6.2</v>
      </c>
      <c r="S226">
        <v>15.4</v>
      </c>
      <c r="T226">
        <v>57</v>
      </c>
      <c r="U226">
        <v>4.5</v>
      </c>
      <c r="V226">
        <v>0</v>
      </c>
      <c r="W226">
        <v>37.71</v>
      </c>
      <c r="X226">
        <f t="shared" si="3"/>
        <v>1</v>
      </c>
    </row>
    <row r="227" spans="10:24" x14ac:dyDescent="0.3">
      <c r="J227">
        <v>226</v>
      </c>
      <c r="K227">
        <v>4</v>
      </c>
      <c r="L227">
        <v>4</v>
      </c>
      <c r="M227" t="s">
        <v>43</v>
      </c>
      <c r="N227" t="s">
        <v>40</v>
      </c>
      <c r="O227">
        <v>93.5</v>
      </c>
      <c r="P227">
        <v>149.30000000000001</v>
      </c>
      <c r="Q227">
        <v>728.6</v>
      </c>
      <c r="R227">
        <v>8.1</v>
      </c>
      <c r="S227">
        <v>22.9</v>
      </c>
      <c r="T227">
        <v>39</v>
      </c>
      <c r="U227">
        <v>4.9000000000000004</v>
      </c>
      <c r="V227">
        <v>0</v>
      </c>
      <c r="W227">
        <v>48.55</v>
      </c>
      <c r="X227">
        <f t="shared" si="3"/>
        <v>1</v>
      </c>
    </row>
    <row r="228" spans="10:24" x14ac:dyDescent="0.3">
      <c r="J228">
        <v>227</v>
      </c>
      <c r="K228">
        <v>7</v>
      </c>
      <c r="L228">
        <v>5</v>
      </c>
      <c r="M228" t="s">
        <v>37</v>
      </c>
      <c r="N228" t="s">
        <v>42</v>
      </c>
      <c r="O228">
        <v>91.7</v>
      </c>
      <c r="P228">
        <v>48.5</v>
      </c>
      <c r="Q228">
        <v>696.1</v>
      </c>
      <c r="R228">
        <v>11.1</v>
      </c>
      <c r="S228">
        <v>16.100000000000001</v>
      </c>
      <c r="T228">
        <v>44</v>
      </c>
      <c r="U228">
        <v>4</v>
      </c>
      <c r="V228">
        <v>0</v>
      </c>
      <c r="W228">
        <v>49.37</v>
      </c>
      <c r="X228">
        <f t="shared" si="3"/>
        <v>1</v>
      </c>
    </row>
    <row r="229" spans="10:24" x14ac:dyDescent="0.3">
      <c r="J229">
        <v>228</v>
      </c>
      <c r="K229">
        <v>8</v>
      </c>
      <c r="L229">
        <v>6</v>
      </c>
      <c r="M229" t="s">
        <v>41</v>
      </c>
      <c r="N229" t="s">
        <v>39</v>
      </c>
      <c r="O229">
        <v>92.2</v>
      </c>
      <c r="P229">
        <v>81.8</v>
      </c>
      <c r="Q229">
        <v>480.8</v>
      </c>
      <c r="R229">
        <v>11.9</v>
      </c>
      <c r="S229">
        <v>20.100000000000001</v>
      </c>
      <c r="T229">
        <v>34</v>
      </c>
      <c r="U229">
        <v>4.5</v>
      </c>
      <c r="V229">
        <v>0</v>
      </c>
      <c r="W229">
        <v>58.3</v>
      </c>
      <c r="X229">
        <f t="shared" si="3"/>
        <v>1</v>
      </c>
    </row>
    <row r="230" spans="10:24" x14ac:dyDescent="0.3">
      <c r="J230">
        <v>229</v>
      </c>
      <c r="K230">
        <v>4</v>
      </c>
      <c r="L230">
        <v>6</v>
      </c>
      <c r="M230" t="s">
        <v>43</v>
      </c>
      <c r="N230" t="s">
        <v>40</v>
      </c>
      <c r="O230">
        <v>93.5</v>
      </c>
      <c r="P230">
        <v>149.30000000000001</v>
      </c>
      <c r="Q230">
        <v>728.6</v>
      </c>
      <c r="R230">
        <v>8.1</v>
      </c>
      <c r="S230">
        <v>28.3</v>
      </c>
      <c r="T230">
        <v>26</v>
      </c>
      <c r="U230">
        <v>3.1</v>
      </c>
      <c r="V230">
        <v>0</v>
      </c>
      <c r="W230">
        <v>64.099999999999994</v>
      </c>
      <c r="X230">
        <f t="shared" si="3"/>
        <v>1</v>
      </c>
    </row>
    <row r="231" spans="10:24" x14ac:dyDescent="0.3">
      <c r="J231">
        <v>230</v>
      </c>
      <c r="K231">
        <v>8</v>
      </c>
      <c r="L231">
        <v>6</v>
      </c>
      <c r="M231" t="s">
        <v>41</v>
      </c>
      <c r="N231" t="s">
        <v>39</v>
      </c>
      <c r="O231">
        <v>92.2</v>
      </c>
      <c r="P231">
        <v>81.8</v>
      </c>
      <c r="Q231">
        <v>480.8</v>
      </c>
      <c r="R231">
        <v>11.9</v>
      </c>
      <c r="S231">
        <v>16.399999999999999</v>
      </c>
      <c r="T231">
        <v>43</v>
      </c>
      <c r="U231">
        <v>4</v>
      </c>
      <c r="V231">
        <v>0</v>
      </c>
      <c r="W231">
        <v>71.3</v>
      </c>
      <c r="X231">
        <f t="shared" si="3"/>
        <v>1</v>
      </c>
    </row>
    <row r="232" spans="10:24" x14ac:dyDescent="0.3">
      <c r="J232">
        <v>231</v>
      </c>
      <c r="K232">
        <v>4</v>
      </c>
      <c r="L232">
        <v>4</v>
      </c>
      <c r="M232" t="s">
        <v>43</v>
      </c>
      <c r="N232" t="s">
        <v>44</v>
      </c>
      <c r="O232">
        <v>92.9</v>
      </c>
      <c r="P232">
        <v>133.30000000000001</v>
      </c>
      <c r="Q232">
        <v>699.6</v>
      </c>
      <c r="R232">
        <v>9.1999999999999993</v>
      </c>
      <c r="S232">
        <v>26.4</v>
      </c>
      <c r="T232">
        <v>21</v>
      </c>
      <c r="U232">
        <v>4.5</v>
      </c>
      <c r="V232">
        <v>0</v>
      </c>
      <c r="W232">
        <v>88.49</v>
      </c>
      <c r="X232">
        <f t="shared" si="3"/>
        <v>1</v>
      </c>
    </row>
    <row r="233" spans="10:24" x14ac:dyDescent="0.3">
      <c r="J233">
        <v>232</v>
      </c>
      <c r="K233">
        <v>1</v>
      </c>
      <c r="L233">
        <v>5</v>
      </c>
      <c r="M233" t="s">
        <v>43</v>
      </c>
      <c r="N233" t="s">
        <v>40</v>
      </c>
      <c r="O233">
        <v>93.5</v>
      </c>
      <c r="P233">
        <v>149.30000000000001</v>
      </c>
      <c r="Q233">
        <v>728.6</v>
      </c>
      <c r="R233">
        <v>8.1</v>
      </c>
      <c r="S233">
        <v>27.8</v>
      </c>
      <c r="T233">
        <v>27</v>
      </c>
      <c r="U233">
        <v>3.1</v>
      </c>
      <c r="V233">
        <v>0</v>
      </c>
      <c r="W233">
        <v>95.18</v>
      </c>
      <c r="X233">
        <f t="shared" si="3"/>
        <v>1</v>
      </c>
    </row>
    <row r="234" spans="10:24" x14ac:dyDescent="0.3">
      <c r="J234">
        <v>233</v>
      </c>
      <c r="K234">
        <v>6</v>
      </c>
      <c r="L234">
        <v>4</v>
      </c>
      <c r="M234" t="s">
        <v>43</v>
      </c>
      <c r="N234" t="s">
        <v>38</v>
      </c>
      <c r="O234">
        <v>91</v>
      </c>
      <c r="P234">
        <v>129.5</v>
      </c>
      <c r="Q234">
        <v>692.6</v>
      </c>
      <c r="R234">
        <v>7</v>
      </c>
      <c r="S234">
        <v>18.7</v>
      </c>
      <c r="T234">
        <v>43</v>
      </c>
      <c r="U234">
        <v>2.7</v>
      </c>
      <c r="V234">
        <v>0</v>
      </c>
      <c r="W234">
        <v>103.39</v>
      </c>
      <c r="X234">
        <f t="shared" si="3"/>
        <v>1</v>
      </c>
    </row>
    <row r="235" spans="10:24" x14ac:dyDescent="0.3">
      <c r="J235">
        <v>234</v>
      </c>
      <c r="K235">
        <v>9</v>
      </c>
      <c r="L235">
        <v>4</v>
      </c>
      <c r="M235" t="s">
        <v>43</v>
      </c>
      <c r="N235" t="s">
        <v>38</v>
      </c>
      <c r="O235">
        <v>84.4</v>
      </c>
      <c r="P235">
        <v>73.400000000000006</v>
      </c>
      <c r="Q235">
        <v>671.9</v>
      </c>
      <c r="R235">
        <v>3.2</v>
      </c>
      <c r="S235">
        <v>24.3</v>
      </c>
      <c r="T235">
        <v>36</v>
      </c>
      <c r="U235">
        <v>3.1</v>
      </c>
      <c r="V235">
        <v>0</v>
      </c>
      <c r="W235">
        <v>105.66</v>
      </c>
      <c r="X235">
        <f t="shared" si="3"/>
        <v>1</v>
      </c>
    </row>
    <row r="236" spans="10:24" x14ac:dyDescent="0.3">
      <c r="J236">
        <v>235</v>
      </c>
      <c r="K236">
        <v>4</v>
      </c>
      <c r="L236">
        <v>5</v>
      </c>
      <c r="M236" t="s">
        <v>43</v>
      </c>
      <c r="N236" t="s">
        <v>39</v>
      </c>
      <c r="O236">
        <v>92.5</v>
      </c>
      <c r="P236">
        <v>121.1</v>
      </c>
      <c r="Q236">
        <v>674.4</v>
      </c>
      <c r="R236">
        <v>8.6</v>
      </c>
      <c r="S236">
        <v>17.7</v>
      </c>
      <c r="T236">
        <v>25</v>
      </c>
      <c r="U236">
        <v>3.1</v>
      </c>
      <c r="V236">
        <v>0</v>
      </c>
      <c r="W236">
        <v>154.88</v>
      </c>
      <c r="X236">
        <f t="shared" si="3"/>
        <v>1</v>
      </c>
    </row>
    <row r="237" spans="10:24" x14ac:dyDescent="0.3">
      <c r="J237">
        <v>236</v>
      </c>
      <c r="K237">
        <v>8</v>
      </c>
      <c r="L237">
        <v>6</v>
      </c>
      <c r="M237" t="s">
        <v>41</v>
      </c>
      <c r="N237" t="s">
        <v>40</v>
      </c>
      <c r="O237">
        <v>91.4</v>
      </c>
      <c r="P237">
        <v>142.4</v>
      </c>
      <c r="Q237">
        <v>601.4</v>
      </c>
      <c r="R237">
        <v>10.6</v>
      </c>
      <c r="S237">
        <v>19.600000000000001</v>
      </c>
      <c r="T237">
        <v>41</v>
      </c>
      <c r="U237">
        <v>5.8</v>
      </c>
      <c r="V237">
        <v>0</v>
      </c>
      <c r="W237">
        <v>196.48</v>
      </c>
      <c r="X237">
        <f t="shared" si="3"/>
        <v>1</v>
      </c>
    </row>
    <row r="238" spans="10:24" x14ac:dyDescent="0.3">
      <c r="J238">
        <v>237</v>
      </c>
      <c r="K238">
        <v>2</v>
      </c>
      <c r="L238">
        <v>2</v>
      </c>
      <c r="M238" t="s">
        <v>43</v>
      </c>
      <c r="N238" t="s">
        <v>39</v>
      </c>
      <c r="O238">
        <v>92.5</v>
      </c>
      <c r="P238">
        <v>121.1</v>
      </c>
      <c r="Q238">
        <v>674.4</v>
      </c>
      <c r="R238">
        <v>8.6</v>
      </c>
      <c r="S238">
        <v>18.2</v>
      </c>
      <c r="T238">
        <v>46</v>
      </c>
      <c r="U238">
        <v>1.8</v>
      </c>
      <c r="V238">
        <v>0</v>
      </c>
      <c r="W238">
        <v>200.94</v>
      </c>
      <c r="X238">
        <f t="shared" si="3"/>
        <v>1</v>
      </c>
    </row>
    <row r="239" spans="10:24" x14ac:dyDescent="0.3">
      <c r="J239">
        <v>238</v>
      </c>
      <c r="K239">
        <v>1</v>
      </c>
      <c r="L239">
        <v>2</v>
      </c>
      <c r="M239" t="s">
        <v>43</v>
      </c>
      <c r="N239" t="s">
        <v>38</v>
      </c>
      <c r="O239">
        <v>91</v>
      </c>
      <c r="P239">
        <v>129.5</v>
      </c>
      <c r="Q239">
        <v>692.6</v>
      </c>
      <c r="R239">
        <v>7</v>
      </c>
      <c r="S239">
        <v>18.8</v>
      </c>
      <c r="T239">
        <v>40</v>
      </c>
      <c r="U239">
        <v>2.2000000000000002</v>
      </c>
      <c r="V239">
        <v>0</v>
      </c>
      <c r="W239">
        <v>212.88</v>
      </c>
      <c r="X239">
        <f t="shared" si="3"/>
        <v>1</v>
      </c>
    </row>
    <row r="240" spans="10:24" x14ac:dyDescent="0.3">
      <c r="J240">
        <v>239</v>
      </c>
      <c r="K240">
        <v>6</v>
      </c>
      <c r="L240">
        <v>5</v>
      </c>
      <c r="M240" t="s">
        <v>43</v>
      </c>
      <c r="N240" t="s">
        <v>39</v>
      </c>
      <c r="O240">
        <v>92.5</v>
      </c>
      <c r="P240">
        <v>121.1</v>
      </c>
      <c r="Q240">
        <v>674.4</v>
      </c>
      <c r="R240">
        <v>8.6</v>
      </c>
      <c r="S240">
        <v>25.1</v>
      </c>
      <c r="T240">
        <v>27</v>
      </c>
      <c r="U240">
        <v>4</v>
      </c>
      <c r="V240">
        <v>0</v>
      </c>
      <c r="W240">
        <v>1090.8399999999999</v>
      </c>
      <c r="X240">
        <f t="shared" si="3"/>
        <v>1</v>
      </c>
    </row>
    <row r="241" spans="10:24" x14ac:dyDescent="0.3">
      <c r="J241">
        <v>240</v>
      </c>
      <c r="K241">
        <v>7</v>
      </c>
      <c r="L241">
        <v>5</v>
      </c>
      <c r="M241" t="s">
        <v>45</v>
      </c>
      <c r="N241" t="s">
        <v>40</v>
      </c>
      <c r="O241">
        <v>81.900000000000006</v>
      </c>
      <c r="P241">
        <v>3</v>
      </c>
      <c r="Q241">
        <v>7.9</v>
      </c>
      <c r="R241">
        <v>3.5</v>
      </c>
      <c r="S241">
        <v>13.4</v>
      </c>
      <c r="T241">
        <v>75</v>
      </c>
      <c r="U241">
        <v>1.8</v>
      </c>
      <c r="V241">
        <v>0</v>
      </c>
      <c r="W241">
        <v>0</v>
      </c>
      <c r="X241">
        <f t="shared" si="3"/>
        <v>0</v>
      </c>
    </row>
    <row r="242" spans="10:24" x14ac:dyDescent="0.3">
      <c r="J242">
        <v>241</v>
      </c>
      <c r="K242">
        <v>6</v>
      </c>
      <c r="L242">
        <v>3</v>
      </c>
      <c r="M242" t="s">
        <v>45</v>
      </c>
      <c r="N242" t="s">
        <v>44</v>
      </c>
      <c r="O242">
        <v>88</v>
      </c>
      <c r="P242">
        <v>17.2</v>
      </c>
      <c r="Q242">
        <v>43.5</v>
      </c>
      <c r="R242">
        <v>3.8</v>
      </c>
      <c r="S242">
        <v>15.2</v>
      </c>
      <c r="T242">
        <v>51</v>
      </c>
      <c r="U242">
        <v>2.7</v>
      </c>
      <c r="V242">
        <v>0</v>
      </c>
      <c r="W242">
        <v>0</v>
      </c>
      <c r="X242">
        <f t="shared" si="3"/>
        <v>0</v>
      </c>
    </row>
    <row r="243" spans="10:24" x14ac:dyDescent="0.3">
      <c r="J243">
        <v>242</v>
      </c>
      <c r="K243">
        <v>4</v>
      </c>
      <c r="L243">
        <v>4</v>
      </c>
      <c r="M243" t="s">
        <v>45</v>
      </c>
      <c r="N243" t="s">
        <v>36</v>
      </c>
      <c r="O243">
        <v>83</v>
      </c>
      <c r="P243">
        <v>23.3</v>
      </c>
      <c r="Q243">
        <v>85.3</v>
      </c>
      <c r="R243">
        <v>2.2999999999999998</v>
      </c>
      <c r="S243">
        <v>16.7</v>
      </c>
      <c r="T243">
        <v>20</v>
      </c>
      <c r="U243">
        <v>3.1</v>
      </c>
      <c r="V243">
        <v>0</v>
      </c>
      <c r="W243">
        <v>0</v>
      </c>
      <c r="X243">
        <f t="shared" si="3"/>
        <v>0</v>
      </c>
    </row>
    <row r="244" spans="10:24" x14ac:dyDescent="0.3">
      <c r="J244">
        <v>243</v>
      </c>
      <c r="K244">
        <v>2</v>
      </c>
      <c r="L244">
        <v>4</v>
      </c>
      <c r="M244" t="s">
        <v>41</v>
      </c>
      <c r="N244" t="s">
        <v>40</v>
      </c>
      <c r="O244">
        <v>94.2</v>
      </c>
      <c r="P244">
        <v>122.3</v>
      </c>
      <c r="Q244">
        <v>589.9</v>
      </c>
      <c r="R244">
        <v>12.9</v>
      </c>
      <c r="S244">
        <v>15.4</v>
      </c>
      <c r="T244">
        <v>66</v>
      </c>
      <c r="U244">
        <v>4</v>
      </c>
      <c r="V244">
        <v>0</v>
      </c>
      <c r="W244">
        <v>10.130000000000001</v>
      </c>
      <c r="X244">
        <f t="shared" si="3"/>
        <v>1</v>
      </c>
    </row>
    <row r="245" spans="10:24" x14ac:dyDescent="0.3">
      <c r="J245">
        <v>244</v>
      </c>
      <c r="K245">
        <v>7</v>
      </c>
      <c r="L245">
        <v>4</v>
      </c>
      <c r="M245" t="s">
        <v>41</v>
      </c>
      <c r="N245" t="s">
        <v>40</v>
      </c>
      <c r="O245">
        <v>91.8</v>
      </c>
      <c r="P245">
        <v>175.1</v>
      </c>
      <c r="Q245">
        <v>700.7</v>
      </c>
      <c r="R245">
        <v>13.8</v>
      </c>
      <c r="S245">
        <v>21.9</v>
      </c>
      <c r="T245">
        <v>73</v>
      </c>
      <c r="U245">
        <v>7.6</v>
      </c>
      <c r="V245">
        <v>1</v>
      </c>
      <c r="W245">
        <v>0</v>
      </c>
      <c r="X245">
        <f t="shared" si="3"/>
        <v>0</v>
      </c>
    </row>
    <row r="246" spans="10:24" x14ac:dyDescent="0.3">
      <c r="J246">
        <v>245</v>
      </c>
      <c r="K246">
        <v>2</v>
      </c>
      <c r="L246">
        <v>4</v>
      </c>
      <c r="M246" t="s">
        <v>41</v>
      </c>
      <c r="N246" t="s">
        <v>40</v>
      </c>
      <c r="O246">
        <v>91.8</v>
      </c>
      <c r="P246">
        <v>175.1</v>
      </c>
      <c r="Q246">
        <v>700.7</v>
      </c>
      <c r="R246">
        <v>13.8</v>
      </c>
      <c r="S246">
        <v>22.4</v>
      </c>
      <c r="T246">
        <v>54</v>
      </c>
      <c r="U246">
        <v>7.6</v>
      </c>
      <c r="V246">
        <v>0</v>
      </c>
      <c r="W246">
        <v>2.87</v>
      </c>
      <c r="X246">
        <f t="shared" si="3"/>
        <v>1</v>
      </c>
    </row>
    <row r="247" spans="10:24" x14ac:dyDescent="0.3">
      <c r="J247">
        <v>246</v>
      </c>
      <c r="K247">
        <v>3</v>
      </c>
      <c r="L247">
        <v>4</v>
      </c>
      <c r="M247" t="s">
        <v>41</v>
      </c>
      <c r="N247" t="s">
        <v>40</v>
      </c>
      <c r="O247">
        <v>91.8</v>
      </c>
      <c r="P247">
        <v>175.1</v>
      </c>
      <c r="Q247">
        <v>700.7</v>
      </c>
      <c r="R247">
        <v>13.8</v>
      </c>
      <c r="S247">
        <v>26.8</v>
      </c>
      <c r="T247">
        <v>38</v>
      </c>
      <c r="U247">
        <v>6.3</v>
      </c>
      <c r="V247">
        <v>0</v>
      </c>
      <c r="W247">
        <v>0.76</v>
      </c>
      <c r="X247">
        <f t="shared" si="3"/>
        <v>1</v>
      </c>
    </row>
    <row r="248" spans="10:24" x14ac:dyDescent="0.3">
      <c r="J248">
        <v>247</v>
      </c>
      <c r="K248">
        <v>5</v>
      </c>
      <c r="L248">
        <v>4</v>
      </c>
      <c r="M248" t="s">
        <v>41</v>
      </c>
      <c r="N248" t="s">
        <v>40</v>
      </c>
      <c r="O248">
        <v>91.8</v>
      </c>
      <c r="P248">
        <v>175.1</v>
      </c>
      <c r="Q248">
        <v>700.7</v>
      </c>
      <c r="R248">
        <v>13.8</v>
      </c>
      <c r="S248">
        <v>25.7</v>
      </c>
      <c r="T248">
        <v>39</v>
      </c>
      <c r="U248">
        <v>5.4</v>
      </c>
      <c r="V248">
        <v>0</v>
      </c>
      <c r="W248">
        <v>0.09</v>
      </c>
      <c r="X248">
        <f t="shared" si="3"/>
        <v>1</v>
      </c>
    </row>
    <row r="249" spans="10:24" x14ac:dyDescent="0.3">
      <c r="J249">
        <v>248</v>
      </c>
      <c r="K249">
        <v>2</v>
      </c>
      <c r="L249">
        <v>4</v>
      </c>
      <c r="M249" t="s">
        <v>41</v>
      </c>
      <c r="N249" t="s">
        <v>44</v>
      </c>
      <c r="O249">
        <v>92.2</v>
      </c>
      <c r="P249">
        <v>91.6</v>
      </c>
      <c r="Q249">
        <v>503.6</v>
      </c>
      <c r="R249">
        <v>9.6</v>
      </c>
      <c r="S249">
        <v>20.7</v>
      </c>
      <c r="T249">
        <v>70</v>
      </c>
      <c r="U249">
        <v>2.2000000000000002</v>
      </c>
      <c r="V249">
        <v>0</v>
      </c>
      <c r="W249">
        <v>0.75</v>
      </c>
      <c r="X249">
        <f t="shared" si="3"/>
        <v>1</v>
      </c>
    </row>
    <row r="250" spans="10:24" x14ac:dyDescent="0.3">
      <c r="J250">
        <v>249</v>
      </c>
      <c r="K250">
        <v>8</v>
      </c>
      <c r="L250">
        <v>6</v>
      </c>
      <c r="M250" t="s">
        <v>41</v>
      </c>
      <c r="N250" t="s">
        <v>44</v>
      </c>
      <c r="O250">
        <v>93.1</v>
      </c>
      <c r="P250">
        <v>157.30000000000001</v>
      </c>
      <c r="Q250">
        <v>666.7</v>
      </c>
      <c r="R250">
        <v>13.5</v>
      </c>
      <c r="S250">
        <v>28.7</v>
      </c>
      <c r="T250">
        <v>28</v>
      </c>
      <c r="U250">
        <v>2.7</v>
      </c>
      <c r="V250">
        <v>0</v>
      </c>
      <c r="W250">
        <v>0</v>
      </c>
      <c r="X250">
        <f t="shared" si="3"/>
        <v>0</v>
      </c>
    </row>
    <row r="251" spans="10:24" x14ac:dyDescent="0.3">
      <c r="J251">
        <v>250</v>
      </c>
      <c r="K251">
        <v>3</v>
      </c>
      <c r="L251">
        <v>4</v>
      </c>
      <c r="M251" t="s">
        <v>41</v>
      </c>
      <c r="N251" t="s">
        <v>44</v>
      </c>
      <c r="O251">
        <v>93.1</v>
      </c>
      <c r="P251">
        <v>157.30000000000001</v>
      </c>
      <c r="Q251">
        <v>666.7</v>
      </c>
      <c r="R251">
        <v>13.5</v>
      </c>
      <c r="S251">
        <v>21.7</v>
      </c>
      <c r="T251">
        <v>40</v>
      </c>
      <c r="U251">
        <v>0.4</v>
      </c>
      <c r="V251">
        <v>0</v>
      </c>
      <c r="W251">
        <v>2.4700000000000002</v>
      </c>
      <c r="X251">
        <f t="shared" si="3"/>
        <v>1</v>
      </c>
    </row>
    <row r="252" spans="10:24" x14ac:dyDescent="0.3">
      <c r="J252">
        <v>251</v>
      </c>
      <c r="K252">
        <v>8</v>
      </c>
      <c r="L252">
        <v>5</v>
      </c>
      <c r="M252" t="s">
        <v>41</v>
      </c>
      <c r="N252" t="s">
        <v>44</v>
      </c>
      <c r="O252">
        <v>93.1</v>
      </c>
      <c r="P252">
        <v>157.30000000000001</v>
      </c>
      <c r="Q252">
        <v>666.7</v>
      </c>
      <c r="R252">
        <v>13.5</v>
      </c>
      <c r="S252">
        <v>26.8</v>
      </c>
      <c r="T252">
        <v>25</v>
      </c>
      <c r="U252">
        <v>3.1</v>
      </c>
      <c r="V252">
        <v>0</v>
      </c>
      <c r="W252">
        <v>0.68</v>
      </c>
      <c r="X252">
        <f t="shared" si="3"/>
        <v>1</v>
      </c>
    </row>
    <row r="253" spans="10:24" x14ac:dyDescent="0.3">
      <c r="J253">
        <v>252</v>
      </c>
      <c r="K253">
        <v>8</v>
      </c>
      <c r="L253">
        <v>5</v>
      </c>
      <c r="M253" t="s">
        <v>41</v>
      </c>
      <c r="N253" t="s">
        <v>44</v>
      </c>
      <c r="O253">
        <v>93.1</v>
      </c>
      <c r="P253">
        <v>157.30000000000001</v>
      </c>
      <c r="Q253">
        <v>666.7</v>
      </c>
      <c r="R253">
        <v>13.5</v>
      </c>
      <c r="S253">
        <v>24</v>
      </c>
      <c r="T253">
        <v>36</v>
      </c>
      <c r="U253">
        <v>3.1</v>
      </c>
      <c r="V253">
        <v>0</v>
      </c>
      <c r="W253">
        <v>0.24</v>
      </c>
      <c r="X253">
        <f t="shared" si="3"/>
        <v>1</v>
      </c>
    </row>
    <row r="254" spans="10:24" x14ac:dyDescent="0.3">
      <c r="J254">
        <v>253</v>
      </c>
      <c r="K254">
        <v>6</v>
      </c>
      <c r="L254">
        <v>5</v>
      </c>
      <c r="M254" t="s">
        <v>41</v>
      </c>
      <c r="N254" t="s">
        <v>44</v>
      </c>
      <c r="O254">
        <v>93.1</v>
      </c>
      <c r="P254">
        <v>157.30000000000001</v>
      </c>
      <c r="Q254">
        <v>666.7</v>
      </c>
      <c r="R254">
        <v>13.5</v>
      </c>
      <c r="S254">
        <v>22.1</v>
      </c>
      <c r="T254">
        <v>37</v>
      </c>
      <c r="U254">
        <v>3.6</v>
      </c>
      <c r="V254">
        <v>0</v>
      </c>
      <c r="W254">
        <v>0.21</v>
      </c>
      <c r="X254">
        <f t="shared" si="3"/>
        <v>1</v>
      </c>
    </row>
    <row r="255" spans="10:24" x14ac:dyDescent="0.3">
      <c r="J255">
        <v>254</v>
      </c>
      <c r="K255">
        <v>7</v>
      </c>
      <c r="L255">
        <v>4</v>
      </c>
      <c r="M255" t="s">
        <v>41</v>
      </c>
      <c r="N255" t="s">
        <v>48</v>
      </c>
      <c r="O255">
        <v>91.9</v>
      </c>
      <c r="P255">
        <v>109.2</v>
      </c>
      <c r="Q255">
        <v>565.5</v>
      </c>
      <c r="R255">
        <v>8</v>
      </c>
      <c r="S255">
        <v>21.4</v>
      </c>
      <c r="T255">
        <v>38</v>
      </c>
      <c r="U255">
        <v>2.7</v>
      </c>
      <c r="V255">
        <v>0</v>
      </c>
      <c r="W255">
        <v>1.52</v>
      </c>
      <c r="X255">
        <f t="shared" si="3"/>
        <v>1</v>
      </c>
    </row>
    <row r="256" spans="10:24" x14ac:dyDescent="0.3">
      <c r="J256">
        <v>255</v>
      </c>
      <c r="K256">
        <v>6</v>
      </c>
      <c r="L256">
        <v>3</v>
      </c>
      <c r="M256" t="s">
        <v>41</v>
      </c>
      <c r="N256" t="s">
        <v>48</v>
      </c>
      <c r="O256">
        <v>91.6</v>
      </c>
      <c r="P256">
        <v>138.1</v>
      </c>
      <c r="Q256">
        <v>621.70000000000005</v>
      </c>
      <c r="R256">
        <v>6.3</v>
      </c>
      <c r="S256">
        <v>18.899999999999999</v>
      </c>
      <c r="T256">
        <v>41</v>
      </c>
      <c r="U256">
        <v>3.1</v>
      </c>
      <c r="V256">
        <v>0</v>
      </c>
      <c r="W256">
        <v>10.34</v>
      </c>
      <c r="X256">
        <f t="shared" si="3"/>
        <v>1</v>
      </c>
    </row>
    <row r="257" spans="10:24" x14ac:dyDescent="0.3">
      <c r="J257">
        <v>256</v>
      </c>
      <c r="K257">
        <v>2</v>
      </c>
      <c r="L257">
        <v>5</v>
      </c>
      <c r="M257" t="s">
        <v>41</v>
      </c>
      <c r="N257" t="s">
        <v>48</v>
      </c>
      <c r="O257">
        <v>87.5</v>
      </c>
      <c r="P257">
        <v>77</v>
      </c>
      <c r="Q257">
        <v>694.8</v>
      </c>
      <c r="R257">
        <v>5</v>
      </c>
      <c r="S257">
        <v>22.3</v>
      </c>
      <c r="T257">
        <v>46</v>
      </c>
      <c r="U257">
        <v>4</v>
      </c>
      <c r="V257">
        <v>0</v>
      </c>
      <c r="W257">
        <v>0</v>
      </c>
      <c r="X257">
        <f t="shared" si="3"/>
        <v>0</v>
      </c>
    </row>
    <row r="258" spans="10:24" x14ac:dyDescent="0.3">
      <c r="J258">
        <v>257</v>
      </c>
      <c r="K258">
        <v>8</v>
      </c>
      <c r="L258">
        <v>6</v>
      </c>
      <c r="M258" t="s">
        <v>41</v>
      </c>
      <c r="N258" t="s">
        <v>39</v>
      </c>
      <c r="O258">
        <v>94.2</v>
      </c>
      <c r="P258">
        <v>117.2</v>
      </c>
      <c r="Q258">
        <v>581.1</v>
      </c>
      <c r="R258">
        <v>11</v>
      </c>
      <c r="S258">
        <v>23.9</v>
      </c>
      <c r="T258">
        <v>41</v>
      </c>
      <c r="U258">
        <v>2.2000000000000002</v>
      </c>
      <c r="V258">
        <v>0</v>
      </c>
      <c r="W258">
        <v>8.02</v>
      </c>
      <c r="X258">
        <f t="shared" si="3"/>
        <v>1</v>
      </c>
    </row>
    <row r="259" spans="10:24" x14ac:dyDescent="0.3">
      <c r="J259">
        <v>258</v>
      </c>
      <c r="K259">
        <v>4</v>
      </c>
      <c r="L259">
        <v>3</v>
      </c>
      <c r="M259" t="s">
        <v>41</v>
      </c>
      <c r="N259" t="s">
        <v>39</v>
      </c>
      <c r="O259">
        <v>94.2</v>
      </c>
      <c r="P259">
        <v>117.2</v>
      </c>
      <c r="Q259">
        <v>581.1</v>
      </c>
      <c r="R259">
        <v>11</v>
      </c>
      <c r="S259">
        <v>21.4</v>
      </c>
      <c r="T259">
        <v>44</v>
      </c>
      <c r="U259">
        <v>2.7</v>
      </c>
      <c r="V259">
        <v>0</v>
      </c>
      <c r="W259">
        <v>0.68</v>
      </c>
      <c r="X259">
        <f t="shared" ref="X259:X322" si="4">IF(W259&gt;0,1,0)</f>
        <v>1</v>
      </c>
    </row>
    <row r="260" spans="10:24" x14ac:dyDescent="0.3">
      <c r="J260">
        <v>259</v>
      </c>
      <c r="K260">
        <v>3</v>
      </c>
      <c r="L260">
        <v>4</v>
      </c>
      <c r="M260" t="s">
        <v>41</v>
      </c>
      <c r="N260" t="s">
        <v>39</v>
      </c>
      <c r="O260">
        <v>91.8</v>
      </c>
      <c r="P260">
        <v>170.9</v>
      </c>
      <c r="Q260">
        <v>692.3</v>
      </c>
      <c r="R260">
        <v>13.7</v>
      </c>
      <c r="S260">
        <v>20.6</v>
      </c>
      <c r="T260">
        <v>59</v>
      </c>
      <c r="U260">
        <v>0.9</v>
      </c>
      <c r="V260">
        <v>0</v>
      </c>
      <c r="W260">
        <v>0</v>
      </c>
      <c r="X260">
        <f t="shared" si="4"/>
        <v>0</v>
      </c>
    </row>
    <row r="261" spans="10:24" x14ac:dyDescent="0.3">
      <c r="J261">
        <v>260</v>
      </c>
      <c r="K261">
        <v>7</v>
      </c>
      <c r="L261">
        <v>4</v>
      </c>
      <c r="M261" t="s">
        <v>41</v>
      </c>
      <c r="N261" t="s">
        <v>39</v>
      </c>
      <c r="O261">
        <v>91.8</v>
      </c>
      <c r="P261">
        <v>170.9</v>
      </c>
      <c r="Q261">
        <v>692.3</v>
      </c>
      <c r="R261">
        <v>13.7</v>
      </c>
      <c r="S261">
        <v>23.7</v>
      </c>
      <c r="T261">
        <v>40</v>
      </c>
      <c r="U261">
        <v>1.8</v>
      </c>
      <c r="V261">
        <v>0</v>
      </c>
      <c r="W261">
        <v>1.38</v>
      </c>
      <c r="X261">
        <f t="shared" si="4"/>
        <v>1</v>
      </c>
    </row>
    <row r="262" spans="10:24" x14ac:dyDescent="0.3">
      <c r="J262">
        <v>261</v>
      </c>
      <c r="K262">
        <v>2</v>
      </c>
      <c r="L262">
        <v>4</v>
      </c>
      <c r="M262" t="s">
        <v>41</v>
      </c>
      <c r="N262" t="s">
        <v>42</v>
      </c>
      <c r="O262">
        <v>93.6</v>
      </c>
      <c r="P262">
        <v>97.9</v>
      </c>
      <c r="Q262">
        <v>542</v>
      </c>
      <c r="R262">
        <v>14.4</v>
      </c>
      <c r="S262">
        <v>28.3</v>
      </c>
      <c r="T262">
        <v>32</v>
      </c>
      <c r="U262">
        <v>4</v>
      </c>
      <c r="V262">
        <v>0</v>
      </c>
      <c r="W262">
        <v>8.85</v>
      </c>
      <c r="X262">
        <f t="shared" si="4"/>
        <v>1</v>
      </c>
    </row>
    <row r="263" spans="10:24" x14ac:dyDescent="0.3">
      <c r="J263">
        <v>262</v>
      </c>
      <c r="K263">
        <v>3</v>
      </c>
      <c r="L263">
        <v>4</v>
      </c>
      <c r="M263" t="s">
        <v>41</v>
      </c>
      <c r="N263" t="s">
        <v>36</v>
      </c>
      <c r="O263">
        <v>91.6</v>
      </c>
      <c r="P263">
        <v>112.4</v>
      </c>
      <c r="Q263">
        <v>573</v>
      </c>
      <c r="R263">
        <v>8.9</v>
      </c>
      <c r="S263">
        <v>11.2</v>
      </c>
      <c r="T263">
        <v>84</v>
      </c>
      <c r="U263">
        <v>7.6</v>
      </c>
      <c r="V263">
        <v>0</v>
      </c>
      <c r="W263">
        <v>3.3</v>
      </c>
      <c r="X263">
        <f t="shared" si="4"/>
        <v>1</v>
      </c>
    </row>
    <row r="264" spans="10:24" x14ac:dyDescent="0.3">
      <c r="J264">
        <v>263</v>
      </c>
      <c r="K264">
        <v>2</v>
      </c>
      <c r="L264">
        <v>4</v>
      </c>
      <c r="M264" t="s">
        <v>41</v>
      </c>
      <c r="N264" t="s">
        <v>36</v>
      </c>
      <c r="O264">
        <v>91.6</v>
      </c>
      <c r="P264">
        <v>112.4</v>
      </c>
      <c r="Q264">
        <v>573</v>
      </c>
      <c r="R264">
        <v>8.9</v>
      </c>
      <c r="S264">
        <v>21.4</v>
      </c>
      <c r="T264">
        <v>42</v>
      </c>
      <c r="U264">
        <v>3.1</v>
      </c>
      <c r="V264">
        <v>0</v>
      </c>
      <c r="W264">
        <v>4.25</v>
      </c>
      <c r="X264">
        <f t="shared" si="4"/>
        <v>1</v>
      </c>
    </row>
    <row r="265" spans="10:24" x14ac:dyDescent="0.3">
      <c r="J265">
        <v>264</v>
      </c>
      <c r="K265">
        <v>6</v>
      </c>
      <c r="L265">
        <v>3</v>
      </c>
      <c r="M265" t="s">
        <v>41</v>
      </c>
      <c r="N265" t="s">
        <v>36</v>
      </c>
      <c r="O265">
        <v>91.1</v>
      </c>
      <c r="P265">
        <v>141.1</v>
      </c>
      <c r="Q265">
        <v>629.1</v>
      </c>
      <c r="R265">
        <v>7.1</v>
      </c>
      <c r="S265">
        <v>19.3</v>
      </c>
      <c r="T265">
        <v>39</v>
      </c>
      <c r="U265">
        <v>3.6</v>
      </c>
      <c r="V265">
        <v>0</v>
      </c>
      <c r="W265">
        <v>1.56</v>
      </c>
      <c r="X265">
        <f t="shared" si="4"/>
        <v>1</v>
      </c>
    </row>
    <row r="266" spans="10:24" x14ac:dyDescent="0.3">
      <c r="J266">
        <v>265</v>
      </c>
      <c r="K266">
        <v>4</v>
      </c>
      <c r="L266">
        <v>4</v>
      </c>
      <c r="M266" t="s">
        <v>41</v>
      </c>
      <c r="N266" t="s">
        <v>36</v>
      </c>
      <c r="O266">
        <v>94.3</v>
      </c>
      <c r="P266">
        <v>167.6</v>
      </c>
      <c r="Q266">
        <v>684.4</v>
      </c>
      <c r="R266">
        <v>13</v>
      </c>
      <c r="S266">
        <v>21.8</v>
      </c>
      <c r="T266">
        <v>53</v>
      </c>
      <c r="U266">
        <v>3.1</v>
      </c>
      <c r="V266">
        <v>0</v>
      </c>
      <c r="W266">
        <v>6.54</v>
      </c>
      <c r="X266">
        <f t="shared" si="4"/>
        <v>1</v>
      </c>
    </row>
    <row r="267" spans="10:24" x14ac:dyDescent="0.3">
      <c r="J267">
        <v>266</v>
      </c>
      <c r="K267">
        <v>4</v>
      </c>
      <c r="L267">
        <v>4</v>
      </c>
      <c r="M267" t="s">
        <v>41</v>
      </c>
      <c r="N267" t="s">
        <v>38</v>
      </c>
      <c r="O267">
        <v>93.7</v>
      </c>
      <c r="P267">
        <v>102.2</v>
      </c>
      <c r="Q267">
        <v>550.29999999999995</v>
      </c>
      <c r="R267">
        <v>14.6</v>
      </c>
      <c r="S267">
        <v>22.1</v>
      </c>
      <c r="T267">
        <v>54</v>
      </c>
      <c r="U267">
        <v>7.6</v>
      </c>
      <c r="V267">
        <v>0</v>
      </c>
      <c r="W267">
        <v>0.79</v>
      </c>
      <c r="X267">
        <f t="shared" si="4"/>
        <v>1</v>
      </c>
    </row>
    <row r="268" spans="10:24" x14ac:dyDescent="0.3">
      <c r="J268">
        <v>267</v>
      </c>
      <c r="K268">
        <v>6</v>
      </c>
      <c r="L268">
        <v>5</v>
      </c>
      <c r="M268" t="s">
        <v>41</v>
      </c>
      <c r="N268" t="s">
        <v>38</v>
      </c>
      <c r="O268">
        <v>94.3</v>
      </c>
      <c r="P268">
        <v>131.69999999999999</v>
      </c>
      <c r="Q268">
        <v>607.1</v>
      </c>
      <c r="R268">
        <v>22.7</v>
      </c>
      <c r="S268">
        <v>19.399999999999999</v>
      </c>
      <c r="T268">
        <v>55</v>
      </c>
      <c r="U268">
        <v>4</v>
      </c>
      <c r="V268">
        <v>0</v>
      </c>
      <c r="W268">
        <v>0.17</v>
      </c>
      <c r="X268">
        <f t="shared" si="4"/>
        <v>1</v>
      </c>
    </row>
    <row r="269" spans="10:24" x14ac:dyDescent="0.3">
      <c r="J269">
        <v>268</v>
      </c>
      <c r="K269">
        <v>2</v>
      </c>
      <c r="L269">
        <v>2</v>
      </c>
      <c r="M269" t="s">
        <v>41</v>
      </c>
      <c r="N269" t="s">
        <v>38</v>
      </c>
      <c r="O269">
        <v>92.1</v>
      </c>
      <c r="P269">
        <v>152.6</v>
      </c>
      <c r="Q269">
        <v>658.2</v>
      </c>
      <c r="R269">
        <v>14.3</v>
      </c>
      <c r="S269">
        <v>23.7</v>
      </c>
      <c r="T269">
        <v>24</v>
      </c>
      <c r="U269">
        <v>3.1</v>
      </c>
      <c r="V269">
        <v>0</v>
      </c>
      <c r="W269">
        <v>0</v>
      </c>
      <c r="X269">
        <f t="shared" si="4"/>
        <v>0</v>
      </c>
    </row>
    <row r="270" spans="10:24" x14ac:dyDescent="0.3">
      <c r="J270">
        <v>269</v>
      </c>
      <c r="K270">
        <v>3</v>
      </c>
      <c r="L270">
        <v>4</v>
      </c>
      <c r="M270" t="s">
        <v>41</v>
      </c>
      <c r="N270" t="s">
        <v>38</v>
      </c>
      <c r="O270">
        <v>92.1</v>
      </c>
      <c r="P270">
        <v>152.6</v>
      </c>
      <c r="Q270">
        <v>658.2</v>
      </c>
      <c r="R270">
        <v>14.3</v>
      </c>
      <c r="S270">
        <v>21</v>
      </c>
      <c r="T270">
        <v>32</v>
      </c>
      <c r="U270">
        <v>3.1</v>
      </c>
      <c r="V270">
        <v>0</v>
      </c>
      <c r="W270">
        <v>0</v>
      </c>
      <c r="X270">
        <f t="shared" si="4"/>
        <v>0</v>
      </c>
    </row>
    <row r="271" spans="10:24" x14ac:dyDescent="0.3">
      <c r="J271">
        <v>270</v>
      </c>
      <c r="K271">
        <v>4</v>
      </c>
      <c r="L271">
        <v>4</v>
      </c>
      <c r="M271" t="s">
        <v>41</v>
      </c>
      <c r="N271" t="s">
        <v>38</v>
      </c>
      <c r="O271">
        <v>92.1</v>
      </c>
      <c r="P271">
        <v>152.6</v>
      </c>
      <c r="Q271">
        <v>658.2</v>
      </c>
      <c r="R271">
        <v>14.3</v>
      </c>
      <c r="S271">
        <v>19.100000000000001</v>
      </c>
      <c r="T271">
        <v>53</v>
      </c>
      <c r="U271">
        <v>2.7</v>
      </c>
      <c r="V271">
        <v>0</v>
      </c>
      <c r="W271">
        <v>4.4000000000000004</v>
      </c>
      <c r="X271">
        <f t="shared" si="4"/>
        <v>1</v>
      </c>
    </row>
    <row r="272" spans="10:24" x14ac:dyDescent="0.3">
      <c r="J272">
        <v>271</v>
      </c>
      <c r="K272">
        <v>2</v>
      </c>
      <c r="L272">
        <v>2</v>
      </c>
      <c r="M272" t="s">
        <v>41</v>
      </c>
      <c r="N272" t="s">
        <v>38</v>
      </c>
      <c r="O272">
        <v>92.1</v>
      </c>
      <c r="P272">
        <v>152.6</v>
      </c>
      <c r="Q272">
        <v>658.2</v>
      </c>
      <c r="R272">
        <v>14.3</v>
      </c>
      <c r="S272">
        <v>21.8</v>
      </c>
      <c r="T272">
        <v>56</v>
      </c>
      <c r="U272">
        <v>3.1</v>
      </c>
      <c r="V272">
        <v>0</v>
      </c>
      <c r="W272">
        <v>0.52</v>
      </c>
      <c r="X272">
        <f t="shared" si="4"/>
        <v>1</v>
      </c>
    </row>
    <row r="273" spans="10:24" x14ac:dyDescent="0.3">
      <c r="J273">
        <v>272</v>
      </c>
      <c r="K273">
        <v>8</v>
      </c>
      <c r="L273">
        <v>6</v>
      </c>
      <c r="M273" t="s">
        <v>41</v>
      </c>
      <c r="N273" t="s">
        <v>38</v>
      </c>
      <c r="O273">
        <v>92.1</v>
      </c>
      <c r="P273">
        <v>152.6</v>
      </c>
      <c r="Q273">
        <v>658.2</v>
      </c>
      <c r="R273">
        <v>14.3</v>
      </c>
      <c r="S273">
        <v>20.100000000000001</v>
      </c>
      <c r="T273">
        <v>58</v>
      </c>
      <c r="U273">
        <v>4.5</v>
      </c>
      <c r="V273">
        <v>0</v>
      </c>
      <c r="W273">
        <v>9.27</v>
      </c>
      <c r="X273">
        <f t="shared" si="4"/>
        <v>1</v>
      </c>
    </row>
    <row r="274" spans="10:24" x14ac:dyDescent="0.3">
      <c r="J274">
        <v>273</v>
      </c>
      <c r="K274">
        <v>2</v>
      </c>
      <c r="L274">
        <v>5</v>
      </c>
      <c r="M274" t="s">
        <v>41</v>
      </c>
      <c r="N274" t="s">
        <v>38</v>
      </c>
      <c r="O274">
        <v>92.1</v>
      </c>
      <c r="P274">
        <v>152.6</v>
      </c>
      <c r="Q274">
        <v>658.2</v>
      </c>
      <c r="R274">
        <v>14.3</v>
      </c>
      <c r="S274">
        <v>20.2</v>
      </c>
      <c r="T274">
        <v>47</v>
      </c>
      <c r="U274">
        <v>4</v>
      </c>
      <c r="V274">
        <v>0</v>
      </c>
      <c r="W274">
        <v>3.09</v>
      </c>
      <c r="X274">
        <f t="shared" si="4"/>
        <v>1</v>
      </c>
    </row>
    <row r="275" spans="10:24" x14ac:dyDescent="0.3">
      <c r="J275">
        <v>274</v>
      </c>
      <c r="K275">
        <v>4</v>
      </c>
      <c r="L275">
        <v>6</v>
      </c>
      <c r="M275" t="s">
        <v>51</v>
      </c>
      <c r="N275" t="s">
        <v>40</v>
      </c>
      <c r="O275">
        <v>84.4</v>
      </c>
      <c r="P275">
        <v>27.2</v>
      </c>
      <c r="Q275">
        <v>353.5</v>
      </c>
      <c r="R275">
        <v>6.8</v>
      </c>
      <c r="S275">
        <v>4.8</v>
      </c>
      <c r="T275">
        <v>57</v>
      </c>
      <c r="U275">
        <v>8.5</v>
      </c>
      <c r="V275">
        <v>0</v>
      </c>
      <c r="W275">
        <v>8.98</v>
      </c>
      <c r="X275">
        <f t="shared" si="4"/>
        <v>1</v>
      </c>
    </row>
    <row r="276" spans="10:24" x14ac:dyDescent="0.3">
      <c r="J276">
        <v>275</v>
      </c>
      <c r="K276">
        <v>8</v>
      </c>
      <c r="L276">
        <v>6</v>
      </c>
      <c r="M276" t="s">
        <v>51</v>
      </c>
      <c r="N276" t="s">
        <v>44</v>
      </c>
      <c r="O276">
        <v>84</v>
      </c>
      <c r="P276">
        <v>27.8</v>
      </c>
      <c r="Q276">
        <v>354.6</v>
      </c>
      <c r="R276">
        <v>5.3</v>
      </c>
      <c r="S276">
        <v>5.0999999999999996</v>
      </c>
      <c r="T276">
        <v>61</v>
      </c>
      <c r="U276">
        <v>8</v>
      </c>
      <c r="V276">
        <v>0</v>
      </c>
      <c r="W276">
        <v>11.19</v>
      </c>
      <c r="X276">
        <f t="shared" si="4"/>
        <v>1</v>
      </c>
    </row>
    <row r="277" spans="10:24" x14ac:dyDescent="0.3">
      <c r="J277">
        <v>276</v>
      </c>
      <c r="K277">
        <v>4</v>
      </c>
      <c r="L277">
        <v>6</v>
      </c>
      <c r="M277" t="s">
        <v>51</v>
      </c>
      <c r="N277" t="s">
        <v>48</v>
      </c>
      <c r="O277">
        <v>84.6</v>
      </c>
      <c r="P277">
        <v>26.4</v>
      </c>
      <c r="Q277">
        <v>352</v>
      </c>
      <c r="R277">
        <v>2</v>
      </c>
      <c r="S277">
        <v>5.0999999999999996</v>
      </c>
      <c r="T277">
        <v>61</v>
      </c>
      <c r="U277">
        <v>4.9000000000000004</v>
      </c>
      <c r="V277">
        <v>0</v>
      </c>
      <c r="W277">
        <v>5.38</v>
      </c>
      <c r="X277">
        <f t="shared" si="4"/>
        <v>1</v>
      </c>
    </row>
    <row r="278" spans="10:24" x14ac:dyDescent="0.3">
      <c r="J278">
        <v>277</v>
      </c>
      <c r="K278">
        <v>4</v>
      </c>
      <c r="L278">
        <v>4</v>
      </c>
      <c r="M278" t="s">
        <v>51</v>
      </c>
      <c r="N278" t="s">
        <v>42</v>
      </c>
      <c r="O278">
        <v>85.4</v>
      </c>
      <c r="P278">
        <v>25.4</v>
      </c>
      <c r="Q278">
        <v>349.7</v>
      </c>
      <c r="R278">
        <v>2.6</v>
      </c>
      <c r="S278">
        <v>4.5999999999999996</v>
      </c>
      <c r="T278">
        <v>21</v>
      </c>
      <c r="U278">
        <v>8.5</v>
      </c>
      <c r="V278">
        <v>0</v>
      </c>
      <c r="W278">
        <v>17.850000000000001</v>
      </c>
      <c r="X278">
        <f t="shared" si="4"/>
        <v>1</v>
      </c>
    </row>
    <row r="279" spans="10:24" x14ac:dyDescent="0.3">
      <c r="J279">
        <v>278</v>
      </c>
      <c r="K279">
        <v>3</v>
      </c>
      <c r="L279">
        <v>4</v>
      </c>
      <c r="M279" t="s">
        <v>51</v>
      </c>
      <c r="N279" t="s">
        <v>42</v>
      </c>
      <c r="O279">
        <v>85.4</v>
      </c>
      <c r="P279">
        <v>25.4</v>
      </c>
      <c r="Q279">
        <v>349.7</v>
      </c>
      <c r="R279">
        <v>2.6</v>
      </c>
      <c r="S279">
        <v>4.5999999999999996</v>
      </c>
      <c r="T279">
        <v>21</v>
      </c>
      <c r="U279">
        <v>8.5</v>
      </c>
      <c r="V279">
        <v>0</v>
      </c>
      <c r="W279">
        <v>10.73</v>
      </c>
      <c r="X279">
        <f t="shared" si="4"/>
        <v>1</v>
      </c>
    </row>
    <row r="280" spans="10:24" x14ac:dyDescent="0.3">
      <c r="J280">
        <v>279</v>
      </c>
      <c r="K280">
        <v>4</v>
      </c>
      <c r="L280">
        <v>4</v>
      </c>
      <c r="M280" t="s">
        <v>51</v>
      </c>
      <c r="N280" t="s">
        <v>42</v>
      </c>
      <c r="O280">
        <v>85.4</v>
      </c>
      <c r="P280">
        <v>25.4</v>
      </c>
      <c r="Q280">
        <v>349.7</v>
      </c>
      <c r="R280">
        <v>2.6</v>
      </c>
      <c r="S280">
        <v>4.5999999999999996</v>
      </c>
      <c r="T280">
        <v>21</v>
      </c>
      <c r="U280">
        <v>8.5</v>
      </c>
      <c r="V280">
        <v>0</v>
      </c>
      <c r="W280">
        <v>22.03</v>
      </c>
      <c r="X280">
        <f t="shared" si="4"/>
        <v>1</v>
      </c>
    </row>
    <row r="281" spans="10:24" x14ac:dyDescent="0.3">
      <c r="J281">
        <v>280</v>
      </c>
      <c r="K281">
        <v>4</v>
      </c>
      <c r="L281">
        <v>4</v>
      </c>
      <c r="M281" t="s">
        <v>51</v>
      </c>
      <c r="N281" t="s">
        <v>42</v>
      </c>
      <c r="O281">
        <v>85.4</v>
      </c>
      <c r="P281">
        <v>25.4</v>
      </c>
      <c r="Q281">
        <v>349.7</v>
      </c>
      <c r="R281">
        <v>2.6</v>
      </c>
      <c r="S281">
        <v>4.5999999999999996</v>
      </c>
      <c r="T281">
        <v>21</v>
      </c>
      <c r="U281">
        <v>8.5</v>
      </c>
      <c r="V281">
        <v>0</v>
      </c>
      <c r="W281">
        <v>9.77</v>
      </c>
      <c r="X281">
        <f t="shared" si="4"/>
        <v>1</v>
      </c>
    </row>
    <row r="282" spans="10:24" x14ac:dyDescent="0.3">
      <c r="J282">
        <v>281</v>
      </c>
      <c r="K282">
        <v>4</v>
      </c>
      <c r="L282">
        <v>6</v>
      </c>
      <c r="M282" t="s">
        <v>51</v>
      </c>
      <c r="N282" t="s">
        <v>36</v>
      </c>
      <c r="O282">
        <v>84.7</v>
      </c>
      <c r="P282">
        <v>26.7</v>
      </c>
      <c r="Q282">
        <v>352.6</v>
      </c>
      <c r="R282">
        <v>4.0999999999999996</v>
      </c>
      <c r="S282">
        <v>2.2000000000000002</v>
      </c>
      <c r="T282">
        <v>59</v>
      </c>
      <c r="U282">
        <v>4.9000000000000004</v>
      </c>
      <c r="V282">
        <v>0</v>
      </c>
      <c r="W282">
        <v>9.27</v>
      </c>
      <c r="X282">
        <f t="shared" si="4"/>
        <v>1</v>
      </c>
    </row>
    <row r="283" spans="10:24" x14ac:dyDescent="0.3">
      <c r="J283">
        <v>282</v>
      </c>
      <c r="K283">
        <v>6</v>
      </c>
      <c r="L283">
        <v>5</v>
      </c>
      <c r="M283" t="s">
        <v>51</v>
      </c>
      <c r="N283" t="s">
        <v>38</v>
      </c>
      <c r="O283">
        <v>85.4</v>
      </c>
      <c r="P283">
        <v>25.4</v>
      </c>
      <c r="Q283">
        <v>349.7</v>
      </c>
      <c r="R283">
        <v>2.6</v>
      </c>
      <c r="S283">
        <v>5.0999999999999996</v>
      </c>
      <c r="T283">
        <v>24</v>
      </c>
      <c r="U283">
        <v>8.5</v>
      </c>
      <c r="V283">
        <v>0</v>
      </c>
      <c r="W283">
        <v>24.77</v>
      </c>
      <c r="X283">
        <f t="shared" si="4"/>
        <v>1</v>
      </c>
    </row>
    <row r="284" spans="10:24" x14ac:dyDescent="0.3">
      <c r="J284">
        <v>283</v>
      </c>
      <c r="K284">
        <v>6</v>
      </c>
      <c r="L284">
        <v>3</v>
      </c>
      <c r="M284" t="s">
        <v>49</v>
      </c>
      <c r="N284" t="s">
        <v>40</v>
      </c>
      <c r="O284">
        <v>84.9</v>
      </c>
      <c r="P284">
        <v>27.5</v>
      </c>
      <c r="Q284">
        <v>353.5</v>
      </c>
      <c r="R284">
        <v>3.4</v>
      </c>
      <c r="S284">
        <v>4.2</v>
      </c>
      <c r="T284">
        <v>51</v>
      </c>
      <c r="U284">
        <v>4</v>
      </c>
      <c r="V284">
        <v>0</v>
      </c>
      <c r="W284">
        <v>0</v>
      </c>
      <c r="X284">
        <f t="shared" si="4"/>
        <v>0</v>
      </c>
    </row>
    <row r="285" spans="10:24" x14ac:dyDescent="0.3">
      <c r="J285">
        <v>284</v>
      </c>
      <c r="K285">
        <v>3</v>
      </c>
      <c r="L285">
        <v>4</v>
      </c>
      <c r="M285" t="s">
        <v>49</v>
      </c>
      <c r="N285" t="s">
        <v>44</v>
      </c>
      <c r="O285">
        <v>86.9</v>
      </c>
      <c r="P285">
        <v>6.6</v>
      </c>
      <c r="Q285">
        <v>18.7</v>
      </c>
      <c r="R285">
        <v>3.2</v>
      </c>
      <c r="S285">
        <v>8.8000000000000007</v>
      </c>
      <c r="T285">
        <v>35</v>
      </c>
      <c r="U285">
        <v>3.1</v>
      </c>
      <c r="V285">
        <v>0</v>
      </c>
      <c r="W285">
        <v>1.1000000000000001</v>
      </c>
      <c r="X285">
        <f t="shared" si="4"/>
        <v>1</v>
      </c>
    </row>
    <row r="286" spans="10:24" x14ac:dyDescent="0.3">
      <c r="J286">
        <v>285</v>
      </c>
      <c r="K286">
        <v>5</v>
      </c>
      <c r="L286">
        <v>4</v>
      </c>
      <c r="M286" t="s">
        <v>49</v>
      </c>
      <c r="N286" t="s">
        <v>36</v>
      </c>
      <c r="O286">
        <v>85.2</v>
      </c>
      <c r="P286">
        <v>4.9000000000000004</v>
      </c>
      <c r="Q286">
        <v>15.8</v>
      </c>
      <c r="R286">
        <v>6.3</v>
      </c>
      <c r="S286">
        <v>7.5</v>
      </c>
      <c r="T286">
        <v>46</v>
      </c>
      <c r="U286">
        <v>8</v>
      </c>
      <c r="V286">
        <v>0</v>
      </c>
      <c r="W286">
        <v>24.24</v>
      </c>
      <c r="X286">
        <f t="shared" si="4"/>
        <v>1</v>
      </c>
    </row>
    <row r="287" spans="10:24" x14ac:dyDescent="0.3">
      <c r="J287">
        <v>286</v>
      </c>
      <c r="K287">
        <v>2</v>
      </c>
      <c r="L287">
        <v>5</v>
      </c>
      <c r="M287" t="s">
        <v>47</v>
      </c>
      <c r="N287" t="s">
        <v>40</v>
      </c>
      <c r="O287">
        <v>93.9</v>
      </c>
      <c r="P287">
        <v>169.7</v>
      </c>
      <c r="Q287">
        <v>411.8</v>
      </c>
      <c r="R287">
        <v>12.3</v>
      </c>
      <c r="S287">
        <v>23.4</v>
      </c>
      <c r="T287">
        <v>40</v>
      </c>
      <c r="U287">
        <v>6.3</v>
      </c>
      <c r="V287">
        <v>0</v>
      </c>
      <c r="W287">
        <v>0</v>
      </c>
      <c r="X287">
        <f t="shared" si="4"/>
        <v>0</v>
      </c>
    </row>
    <row r="288" spans="10:24" x14ac:dyDescent="0.3">
      <c r="J288">
        <v>287</v>
      </c>
      <c r="K288">
        <v>7</v>
      </c>
      <c r="L288">
        <v>6</v>
      </c>
      <c r="M288" t="s">
        <v>47</v>
      </c>
      <c r="N288" t="s">
        <v>44</v>
      </c>
      <c r="O288">
        <v>91.2</v>
      </c>
      <c r="P288">
        <v>183.1</v>
      </c>
      <c r="Q288">
        <v>437.7</v>
      </c>
      <c r="R288">
        <v>12.5</v>
      </c>
      <c r="S288">
        <v>12.6</v>
      </c>
      <c r="T288">
        <v>90</v>
      </c>
      <c r="U288">
        <v>7.6</v>
      </c>
      <c r="V288">
        <v>0.2</v>
      </c>
      <c r="W288">
        <v>0</v>
      </c>
      <c r="X288">
        <f t="shared" si="4"/>
        <v>0</v>
      </c>
    </row>
    <row r="289" spans="10:24" x14ac:dyDescent="0.3">
      <c r="J289">
        <v>288</v>
      </c>
      <c r="K289">
        <v>7</v>
      </c>
      <c r="L289">
        <v>4</v>
      </c>
      <c r="M289" t="s">
        <v>47</v>
      </c>
      <c r="N289" t="s">
        <v>39</v>
      </c>
      <c r="O289">
        <v>91.6</v>
      </c>
      <c r="P289">
        <v>104.2</v>
      </c>
      <c r="Q289">
        <v>474.9</v>
      </c>
      <c r="R289">
        <v>9</v>
      </c>
      <c r="S289">
        <v>22.1</v>
      </c>
      <c r="T289">
        <v>49</v>
      </c>
      <c r="U289">
        <v>2.7</v>
      </c>
      <c r="V289">
        <v>0</v>
      </c>
      <c r="W289">
        <v>0</v>
      </c>
      <c r="X289">
        <f t="shared" si="4"/>
        <v>0</v>
      </c>
    </row>
    <row r="290" spans="10:24" x14ac:dyDescent="0.3">
      <c r="J290">
        <v>289</v>
      </c>
      <c r="K290">
        <v>7</v>
      </c>
      <c r="L290">
        <v>4</v>
      </c>
      <c r="M290" t="s">
        <v>47</v>
      </c>
      <c r="N290" t="s">
        <v>39</v>
      </c>
      <c r="O290">
        <v>91.6</v>
      </c>
      <c r="P290">
        <v>104.2</v>
      </c>
      <c r="Q290">
        <v>474.9</v>
      </c>
      <c r="R290">
        <v>9</v>
      </c>
      <c r="S290">
        <v>24.2</v>
      </c>
      <c r="T290">
        <v>32</v>
      </c>
      <c r="U290">
        <v>1.8</v>
      </c>
      <c r="V290">
        <v>0</v>
      </c>
      <c r="W290">
        <v>0</v>
      </c>
      <c r="X290">
        <f t="shared" si="4"/>
        <v>0</v>
      </c>
    </row>
    <row r="291" spans="10:24" x14ac:dyDescent="0.3">
      <c r="J291">
        <v>290</v>
      </c>
      <c r="K291">
        <v>7</v>
      </c>
      <c r="L291">
        <v>4</v>
      </c>
      <c r="M291" t="s">
        <v>47</v>
      </c>
      <c r="N291" t="s">
        <v>39</v>
      </c>
      <c r="O291">
        <v>91.6</v>
      </c>
      <c r="P291">
        <v>104.2</v>
      </c>
      <c r="Q291">
        <v>474.9</v>
      </c>
      <c r="R291">
        <v>9</v>
      </c>
      <c r="S291">
        <v>24.3</v>
      </c>
      <c r="T291">
        <v>30</v>
      </c>
      <c r="U291">
        <v>1.8</v>
      </c>
      <c r="V291">
        <v>0</v>
      </c>
      <c r="W291">
        <v>0</v>
      </c>
      <c r="X291">
        <f t="shared" si="4"/>
        <v>0</v>
      </c>
    </row>
    <row r="292" spans="10:24" x14ac:dyDescent="0.3">
      <c r="J292">
        <v>291</v>
      </c>
      <c r="K292">
        <v>2</v>
      </c>
      <c r="L292">
        <v>5</v>
      </c>
      <c r="M292" t="s">
        <v>47</v>
      </c>
      <c r="N292" t="s">
        <v>39</v>
      </c>
      <c r="O292">
        <v>91.6</v>
      </c>
      <c r="P292">
        <v>104.2</v>
      </c>
      <c r="Q292">
        <v>474.9</v>
      </c>
      <c r="R292">
        <v>9</v>
      </c>
      <c r="S292">
        <v>18.7</v>
      </c>
      <c r="T292">
        <v>53</v>
      </c>
      <c r="U292">
        <v>1.8</v>
      </c>
      <c r="V292">
        <v>0</v>
      </c>
      <c r="W292">
        <v>0</v>
      </c>
      <c r="X292">
        <f t="shared" si="4"/>
        <v>0</v>
      </c>
    </row>
    <row r="293" spans="10:24" x14ac:dyDescent="0.3">
      <c r="J293">
        <v>292</v>
      </c>
      <c r="K293">
        <v>9</v>
      </c>
      <c r="L293">
        <v>4</v>
      </c>
      <c r="M293" t="s">
        <v>47</v>
      </c>
      <c r="N293" t="s">
        <v>39</v>
      </c>
      <c r="O293">
        <v>91.6</v>
      </c>
      <c r="P293">
        <v>104.2</v>
      </c>
      <c r="Q293">
        <v>474.9</v>
      </c>
      <c r="R293">
        <v>9</v>
      </c>
      <c r="S293">
        <v>25.3</v>
      </c>
      <c r="T293">
        <v>39</v>
      </c>
      <c r="U293">
        <v>0.9</v>
      </c>
      <c r="V293">
        <v>0</v>
      </c>
      <c r="W293">
        <v>8</v>
      </c>
      <c r="X293">
        <f t="shared" si="4"/>
        <v>1</v>
      </c>
    </row>
    <row r="294" spans="10:24" x14ac:dyDescent="0.3">
      <c r="J294">
        <v>293</v>
      </c>
      <c r="K294">
        <v>4</v>
      </c>
      <c r="L294">
        <v>5</v>
      </c>
      <c r="M294" t="s">
        <v>47</v>
      </c>
      <c r="N294" t="s">
        <v>36</v>
      </c>
      <c r="O294">
        <v>91.6</v>
      </c>
      <c r="P294">
        <v>100.2</v>
      </c>
      <c r="Q294">
        <v>466.3</v>
      </c>
      <c r="R294">
        <v>6.3</v>
      </c>
      <c r="S294">
        <v>22.9</v>
      </c>
      <c r="T294">
        <v>40</v>
      </c>
      <c r="U294">
        <v>1.3</v>
      </c>
      <c r="V294">
        <v>0</v>
      </c>
      <c r="W294">
        <v>2.64</v>
      </c>
      <c r="X294">
        <f t="shared" si="4"/>
        <v>1</v>
      </c>
    </row>
    <row r="295" spans="10:24" x14ac:dyDescent="0.3">
      <c r="J295">
        <v>294</v>
      </c>
      <c r="K295">
        <v>7</v>
      </c>
      <c r="L295">
        <v>6</v>
      </c>
      <c r="M295" t="s">
        <v>47</v>
      </c>
      <c r="N295" t="s">
        <v>38</v>
      </c>
      <c r="O295">
        <v>93.1</v>
      </c>
      <c r="P295">
        <v>180.4</v>
      </c>
      <c r="Q295">
        <v>430.8</v>
      </c>
      <c r="R295">
        <v>11</v>
      </c>
      <c r="S295">
        <v>26.9</v>
      </c>
      <c r="T295">
        <v>28</v>
      </c>
      <c r="U295">
        <v>5.4</v>
      </c>
      <c r="V295">
        <v>0</v>
      </c>
      <c r="W295">
        <v>86.45</v>
      </c>
      <c r="X295">
        <f t="shared" si="4"/>
        <v>1</v>
      </c>
    </row>
    <row r="296" spans="10:24" x14ac:dyDescent="0.3">
      <c r="J296">
        <v>295</v>
      </c>
      <c r="K296">
        <v>8</v>
      </c>
      <c r="L296">
        <v>6</v>
      </c>
      <c r="M296" t="s">
        <v>47</v>
      </c>
      <c r="N296" t="s">
        <v>38</v>
      </c>
      <c r="O296">
        <v>92.3</v>
      </c>
      <c r="P296">
        <v>88.8</v>
      </c>
      <c r="Q296">
        <v>440.9</v>
      </c>
      <c r="R296">
        <v>8.5</v>
      </c>
      <c r="S296">
        <v>17.100000000000001</v>
      </c>
      <c r="T296">
        <v>67</v>
      </c>
      <c r="U296">
        <v>3.6</v>
      </c>
      <c r="V296">
        <v>0</v>
      </c>
      <c r="W296">
        <v>6.57</v>
      </c>
      <c r="X296">
        <f t="shared" si="4"/>
        <v>1</v>
      </c>
    </row>
    <row r="297" spans="10:24" x14ac:dyDescent="0.3">
      <c r="J297">
        <v>296</v>
      </c>
      <c r="K297">
        <v>7</v>
      </c>
      <c r="L297">
        <v>5</v>
      </c>
      <c r="M297" t="s">
        <v>46</v>
      </c>
      <c r="N297" t="s">
        <v>40</v>
      </c>
      <c r="O297">
        <v>93.1</v>
      </c>
      <c r="P297">
        <v>180.4</v>
      </c>
      <c r="Q297">
        <v>430.8</v>
      </c>
      <c r="R297">
        <v>11</v>
      </c>
      <c r="S297">
        <v>22.2</v>
      </c>
      <c r="T297">
        <v>48</v>
      </c>
      <c r="U297">
        <v>1.3</v>
      </c>
      <c r="V297">
        <v>0</v>
      </c>
      <c r="W297">
        <v>0</v>
      </c>
      <c r="X297">
        <f t="shared" si="4"/>
        <v>0</v>
      </c>
    </row>
    <row r="298" spans="10:24" x14ac:dyDescent="0.3">
      <c r="J298">
        <v>297</v>
      </c>
      <c r="K298">
        <v>6</v>
      </c>
      <c r="L298">
        <v>4</v>
      </c>
      <c r="M298" t="s">
        <v>46</v>
      </c>
      <c r="N298" t="s">
        <v>40</v>
      </c>
      <c r="O298">
        <v>90.4</v>
      </c>
      <c r="P298">
        <v>89.5</v>
      </c>
      <c r="Q298">
        <v>290.8</v>
      </c>
      <c r="R298">
        <v>6.4</v>
      </c>
      <c r="S298">
        <v>14.3</v>
      </c>
      <c r="T298">
        <v>46</v>
      </c>
      <c r="U298">
        <v>1.8</v>
      </c>
      <c r="V298">
        <v>0</v>
      </c>
      <c r="W298">
        <v>0.9</v>
      </c>
      <c r="X298">
        <f t="shared" si="4"/>
        <v>1</v>
      </c>
    </row>
    <row r="299" spans="10:24" x14ac:dyDescent="0.3">
      <c r="J299">
        <v>298</v>
      </c>
      <c r="K299">
        <v>8</v>
      </c>
      <c r="L299">
        <v>6</v>
      </c>
      <c r="M299" t="s">
        <v>46</v>
      </c>
      <c r="N299" t="s">
        <v>40</v>
      </c>
      <c r="O299">
        <v>90.4</v>
      </c>
      <c r="P299">
        <v>89.5</v>
      </c>
      <c r="Q299">
        <v>290.8</v>
      </c>
      <c r="R299">
        <v>6.4</v>
      </c>
      <c r="S299">
        <v>15.4</v>
      </c>
      <c r="T299">
        <v>45</v>
      </c>
      <c r="U299">
        <v>2.2000000000000002</v>
      </c>
      <c r="V299">
        <v>0</v>
      </c>
      <c r="W299">
        <v>0</v>
      </c>
      <c r="X299">
        <f t="shared" si="4"/>
        <v>0</v>
      </c>
    </row>
    <row r="300" spans="10:24" x14ac:dyDescent="0.3">
      <c r="J300">
        <v>299</v>
      </c>
      <c r="K300">
        <v>8</v>
      </c>
      <c r="L300">
        <v>6</v>
      </c>
      <c r="M300" t="s">
        <v>46</v>
      </c>
      <c r="N300" t="s">
        <v>44</v>
      </c>
      <c r="O300">
        <v>91.2</v>
      </c>
      <c r="P300">
        <v>147.80000000000001</v>
      </c>
      <c r="Q300">
        <v>377.2</v>
      </c>
      <c r="R300">
        <v>12.7</v>
      </c>
      <c r="S300">
        <v>19.600000000000001</v>
      </c>
      <c r="T300">
        <v>43</v>
      </c>
      <c r="U300">
        <v>4.9000000000000004</v>
      </c>
      <c r="V300">
        <v>0</v>
      </c>
      <c r="W300">
        <v>0</v>
      </c>
      <c r="X300">
        <f t="shared" si="4"/>
        <v>0</v>
      </c>
    </row>
    <row r="301" spans="10:24" x14ac:dyDescent="0.3">
      <c r="J301">
        <v>300</v>
      </c>
      <c r="K301">
        <v>6</v>
      </c>
      <c r="L301">
        <v>5</v>
      </c>
      <c r="M301" t="s">
        <v>46</v>
      </c>
      <c r="N301" t="s">
        <v>39</v>
      </c>
      <c r="O301">
        <v>53.4</v>
      </c>
      <c r="P301">
        <v>71</v>
      </c>
      <c r="Q301">
        <v>233.8</v>
      </c>
      <c r="R301">
        <v>0.4</v>
      </c>
      <c r="S301">
        <v>10.6</v>
      </c>
      <c r="T301">
        <v>90</v>
      </c>
      <c r="U301">
        <v>2.7</v>
      </c>
      <c r="V301">
        <v>0</v>
      </c>
      <c r="W301">
        <v>0</v>
      </c>
      <c r="X301">
        <f t="shared" si="4"/>
        <v>0</v>
      </c>
    </row>
    <row r="302" spans="10:24" x14ac:dyDescent="0.3">
      <c r="J302">
        <v>301</v>
      </c>
      <c r="K302">
        <v>6</v>
      </c>
      <c r="L302">
        <v>5</v>
      </c>
      <c r="M302" t="s">
        <v>46</v>
      </c>
      <c r="N302" t="s">
        <v>42</v>
      </c>
      <c r="O302">
        <v>90.4</v>
      </c>
      <c r="P302">
        <v>93.3</v>
      </c>
      <c r="Q302">
        <v>298.10000000000002</v>
      </c>
      <c r="R302">
        <v>7.5</v>
      </c>
      <c r="S302">
        <v>20.7</v>
      </c>
      <c r="T302">
        <v>25</v>
      </c>
      <c r="U302">
        <v>4.9000000000000004</v>
      </c>
      <c r="V302">
        <v>0</v>
      </c>
      <c r="W302">
        <v>0</v>
      </c>
      <c r="X302">
        <f t="shared" si="4"/>
        <v>0</v>
      </c>
    </row>
    <row r="303" spans="10:24" x14ac:dyDescent="0.3">
      <c r="J303">
        <v>302</v>
      </c>
      <c r="K303">
        <v>6</v>
      </c>
      <c r="L303">
        <v>5</v>
      </c>
      <c r="M303" t="s">
        <v>46</v>
      </c>
      <c r="N303" t="s">
        <v>42</v>
      </c>
      <c r="O303">
        <v>90.4</v>
      </c>
      <c r="P303">
        <v>93.3</v>
      </c>
      <c r="Q303">
        <v>298.10000000000002</v>
      </c>
      <c r="R303">
        <v>7.5</v>
      </c>
      <c r="S303">
        <v>19.100000000000001</v>
      </c>
      <c r="T303">
        <v>39</v>
      </c>
      <c r="U303">
        <v>5.4</v>
      </c>
      <c r="V303">
        <v>0</v>
      </c>
      <c r="W303">
        <v>3.52</v>
      </c>
      <c r="X303">
        <f t="shared" si="4"/>
        <v>1</v>
      </c>
    </row>
    <row r="304" spans="10:24" x14ac:dyDescent="0.3">
      <c r="J304">
        <v>303</v>
      </c>
      <c r="K304">
        <v>3</v>
      </c>
      <c r="L304">
        <v>6</v>
      </c>
      <c r="M304" t="s">
        <v>46</v>
      </c>
      <c r="N304" t="s">
        <v>36</v>
      </c>
      <c r="O304">
        <v>91.1</v>
      </c>
      <c r="P304">
        <v>94.1</v>
      </c>
      <c r="Q304">
        <v>232.1</v>
      </c>
      <c r="R304">
        <v>7.1</v>
      </c>
      <c r="S304">
        <v>19.2</v>
      </c>
      <c r="T304">
        <v>38</v>
      </c>
      <c r="U304">
        <v>4.5</v>
      </c>
      <c r="V304">
        <v>0</v>
      </c>
      <c r="W304">
        <v>0</v>
      </c>
      <c r="X304">
        <f t="shared" si="4"/>
        <v>0</v>
      </c>
    </row>
    <row r="305" spans="10:24" x14ac:dyDescent="0.3">
      <c r="J305">
        <v>304</v>
      </c>
      <c r="K305">
        <v>3</v>
      </c>
      <c r="L305">
        <v>6</v>
      </c>
      <c r="M305" t="s">
        <v>46</v>
      </c>
      <c r="N305" t="s">
        <v>36</v>
      </c>
      <c r="O305">
        <v>91.1</v>
      </c>
      <c r="P305">
        <v>94.1</v>
      </c>
      <c r="Q305">
        <v>232.1</v>
      </c>
      <c r="R305">
        <v>7.1</v>
      </c>
      <c r="S305">
        <v>19.2</v>
      </c>
      <c r="T305">
        <v>38</v>
      </c>
      <c r="U305">
        <v>4.5</v>
      </c>
      <c r="V305">
        <v>0</v>
      </c>
      <c r="W305">
        <v>0</v>
      </c>
      <c r="X305">
        <f t="shared" si="4"/>
        <v>0</v>
      </c>
    </row>
    <row r="306" spans="10:24" x14ac:dyDescent="0.3">
      <c r="J306">
        <v>305</v>
      </c>
      <c r="K306">
        <v>6</v>
      </c>
      <c r="L306">
        <v>5</v>
      </c>
      <c r="M306" t="s">
        <v>52</v>
      </c>
      <c r="N306" t="s">
        <v>39</v>
      </c>
      <c r="O306">
        <v>85.1</v>
      </c>
      <c r="P306">
        <v>28</v>
      </c>
      <c r="Q306">
        <v>113.8</v>
      </c>
      <c r="R306">
        <v>3.5</v>
      </c>
      <c r="S306">
        <v>11.3</v>
      </c>
      <c r="T306">
        <v>94</v>
      </c>
      <c r="U306">
        <v>4.9000000000000004</v>
      </c>
      <c r="V306">
        <v>0</v>
      </c>
      <c r="W306">
        <v>0</v>
      </c>
      <c r="X306">
        <f t="shared" si="4"/>
        <v>0</v>
      </c>
    </row>
    <row r="307" spans="10:24" x14ac:dyDescent="0.3">
      <c r="J307">
        <v>306</v>
      </c>
      <c r="K307">
        <v>1</v>
      </c>
      <c r="L307">
        <v>4</v>
      </c>
      <c r="M307" t="s">
        <v>43</v>
      </c>
      <c r="N307" t="s">
        <v>40</v>
      </c>
      <c r="O307">
        <v>89.6</v>
      </c>
      <c r="P307">
        <v>84.1</v>
      </c>
      <c r="Q307">
        <v>714.3</v>
      </c>
      <c r="R307">
        <v>5.7</v>
      </c>
      <c r="S307">
        <v>19</v>
      </c>
      <c r="T307">
        <v>52</v>
      </c>
      <c r="U307">
        <v>2.2000000000000002</v>
      </c>
      <c r="V307">
        <v>0</v>
      </c>
      <c r="W307">
        <v>0</v>
      </c>
      <c r="X307">
        <f t="shared" si="4"/>
        <v>0</v>
      </c>
    </row>
    <row r="308" spans="10:24" x14ac:dyDescent="0.3">
      <c r="J308">
        <v>307</v>
      </c>
      <c r="K308">
        <v>7</v>
      </c>
      <c r="L308">
        <v>4</v>
      </c>
      <c r="M308" t="s">
        <v>43</v>
      </c>
      <c r="N308" t="s">
        <v>40</v>
      </c>
      <c r="O308">
        <v>89.6</v>
      </c>
      <c r="P308">
        <v>84.1</v>
      </c>
      <c r="Q308">
        <v>714.3</v>
      </c>
      <c r="R308">
        <v>5.7</v>
      </c>
      <c r="S308">
        <v>17.100000000000001</v>
      </c>
      <c r="T308">
        <v>53</v>
      </c>
      <c r="U308">
        <v>5.4</v>
      </c>
      <c r="V308">
        <v>0</v>
      </c>
      <c r="W308">
        <v>0.41</v>
      </c>
      <c r="X308">
        <f t="shared" si="4"/>
        <v>1</v>
      </c>
    </row>
    <row r="309" spans="10:24" x14ac:dyDescent="0.3">
      <c r="J309">
        <v>308</v>
      </c>
      <c r="K309">
        <v>3</v>
      </c>
      <c r="L309">
        <v>4</v>
      </c>
      <c r="M309" t="s">
        <v>43</v>
      </c>
      <c r="N309" t="s">
        <v>40</v>
      </c>
      <c r="O309">
        <v>89.6</v>
      </c>
      <c r="P309">
        <v>84.1</v>
      </c>
      <c r="Q309">
        <v>714.3</v>
      </c>
      <c r="R309">
        <v>5.7</v>
      </c>
      <c r="S309">
        <v>23.8</v>
      </c>
      <c r="T309">
        <v>35</v>
      </c>
      <c r="U309">
        <v>3.6</v>
      </c>
      <c r="V309">
        <v>0</v>
      </c>
      <c r="W309">
        <v>5.18</v>
      </c>
      <c r="X309">
        <f t="shared" si="4"/>
        <v>1</v>
      </c>
    </row>
    <row r="310" spans="10:24" x14ac:dyDescent="0.3">
      <c r="J310">
        <v>309</v>
      </c>
      <c r="K310">
        <v>2</v>
      </c>
      <c r="L310">
        <v>4</v>
      </c>
      <c r="M310" t="s">
        <v>43</v>
      </c>
      <c r="N310" t="s">
        <v>40</v>
      </c>
      <c r="O310">
        <v>92.4</v>
      </c>
      <c r="P310">
        <v>105.8</v>
      </c>
      <c r="Q310">
        <v>758.1</v>
      </c>
      <c r="R310">
        <v>9.9</v>
      </c>
      <c r="S310">
        <v>16</v>
      </c>
      <c r="T310">
        <v>45</v>
      </c>
      <c r="U310">
        <v>1.8</v>
      </c>
      <c r="V310">
        <v>0</v>
      </c>
      <c r="W310">
        <v>0</v>
      </c>
      <c r="X310">
        <f t="shared" si="4"/>
        <v>0</v>
      </c>
    </row>
    <row r="311" spans="10:24" x14ac:dyDescent="0.3">
      <c r="J311">
        <v>310</v>
      </c>
      <c r="K311">
        <v>2</v>
      </c>
      <c r="L311">
        <v>4</v>
      </c>
      <c r="M311" t="s">
        <v>43</v>
      </c>
      <c r="N311" t="s">
        <v>40</v>
      </c>
      <c r="O311">
        <v>92.4</v>
      </c>
      <c r="P311">
        <v>105.8</v>
      </c>
      <c r="Q311">
        <v>758.1</v>
      </c>
      <c r="R311">
        <v>9.9</v>
      </c>
      <c r="S311">
        <v>24.9</v>
      </c>
      <c r="T311">
        <v>27</v>
      </c>
      <c r="U311">
        <v>2.2000000000000002</v>
      </c>
      <c r="V311">
        <v>0</v>
      </c>
      <c r="W311">
        <v>0</v>
      </c>
      <c r="X311">
        <f t="shared" si="4"/>
        <v>0</v>
      </c>
    </row>
    <row r="312" spans="10:24" x14ac:dyDescent="0.3">
      <c r="J312">
        <v>311</v>
      </c>
      <c r="K312">
        <v>7</v>
      </c>
      <c r="L312">
        <v>4</v>
      </c>
      <c r="M312" t="s">
        <v>43</v>
      </c>
      <c r="N312" t="s">
        <v>40</v>
      </c>
      <c r="O312">
        <v>92.4</v>
      </c>
      <c r="P312">
        <v>105.8</v>
      </c>
      <c r="Q312">
        <v>758.1</v>
      </c>
      <c r="R312">
        <v>9.9</v>
      </c>
      <c r="S312">
        <v>25.3</v>
      </c>
      <c r="T312">
        <v>27</v>
      </c>
      <c r="U312">
        <v>2.7</v>
      </c>
      <c r="V312">
        <v>0</v>
      </c>
      <c r="W312">
        <v>0</v>
      </c>
      <c r="X312">
        <f t="shared" si="4"/>
        <v>0</v>
      </c>
    </row>
    <row r="313" spans="10:24" x14ac:dyDescent="0.3">
      <c r="J313">
        <v>312</v>
      </c>
      <c r="K313">
        <v>6</v>
      </c>
      <c r="L313">
        <v>3</v>
      </c>
      <c r="M313" t="s">
        <v>43</v>
      </c>
      <c r="N313" t="s">
        <v>40</v>
      </c>
      <c r="O313">
        <v>92.4</v>
      </c>
      <c r="P313">
        <v>105.8</v>
      </c>
      <c r="Q313">
        <v>758.1</v>
      </c>
      <c r="R313">
        <v>9.9</v>
      </c>
      <c r="S313">
        <v>24.8</v>
      </c>
      <c r="T313">
        <v>28</v>
      </c>
      <c r="U313">
        <v>1.8</v>
      </c>
      <c r="V313">
        <v>0</v>
      </c>
      <c r="W313">
        <v>14.29</v>
      </c>
      <c r="X313">
        <f t="shared" si="4"/>
        <v>1</v>
      </c>
    </row>
    <row r="314" spans="10:24" x14ac:dyDescent="0.3">
      <c r="J314">
        <v>313</v>
      </c>
      <c r="K314">
        <v>2</v>
      </c>
      <c r="L314">
        <v>4</v>
      </c>
      <c r="M314" t="s">
        <v>43</v>
      </c>
      <c r="N314" t="s">
        <v>40</v>
      </c>
      <c r="O314">
        <v>50.4</v>
      </c>
      <c r="P314">
        <v>46.2</v>
      </c>
      <c r="Q314">
        <v>706.6</v>
      </c>
      <c r="R314">
        <v>0.4</v>
      </c>
      <c r="S314">
        <v>12.2</v>
      </c>
      <c r="T314">
        <v>78</v>
      </c>
      <c r="U314">
        <v>6.3</v>
      </c>
      <c r="V314">
        <v>0</v>
      </c>
      <c r="W314">
        <v>0</v>
      </c>
      <c r="X314">
        <f t="shared" si="4"/>
        <v>0</v>
      </c>
    </row>
    <row r="315" spans="10:24" x14ac:dyDescent="0.3">
      <c r="J315">
        <v>314</v>
      </c>
      <c r="K315">
        <v>6</v>
      </c>
      <c r="L315">
        <v>5</v>
      </c>
      <c r="M315" t="s">
        <v>43</v>
      </c>
      <c r="N315" t="s">
        <v>44</v>
      </c>
      <c r="O315">
        <v>92.6</v>
      </c>
      <c r="P315">
        <v>115.4</v>
      </c>
      <c r="Q315">
        <v>777.1</v>
      </c>
      <c r="R315">
        <v>8.8000000000000007</v>
      </c>
      <c r="S315">
        <v>24.3</v>
      </c>
      <c r="T315">
        <v>27</v>
      </c>
      <c r="U315">
        <v>4.9000000000000004</v>
      </c>
      <c r="V315">
        <v>0</v>
      </c>
      <c r="W315">
        <v>0</v>
      </c>
      <c r="X315">
        <f t="shared" si="4"/>
        <v>0</v>
      </c>
    </row>
    <row r="316" spans="10:24" x14ac:dyDescent="0.3">
      <c r="J316">
        <v>315</v>
      </c>
      <c r="K316">
        <v>4</v>
      </c>
      <c r="L316">
        <v>4</v>
      </c>
      <c r="M316" t="s">
        <v>43</v>
      </c>
      <c r="N316" t="s">
        <v>44</v>
      </c>
      <c r="O316">
        <v>92.6</v>
      </c>
      <c r="P316">
        <v>115.4</v>
      </c>
      <c r="Q316">
        <v>777.1</v>
      </c>
      <c r="R316">
        <v>8.8000000000000007</v>
      </c>
      <c r="S316">
        <v>19.7</v>
      </c>
      <c r="T316">
        <v>41</v>
      </c>
      <c r="U316">
        <v>1.8</v>
      </c>
      <c r="V316">
        <v>0</v>
      </c>
      <c r="W316">
        <v>1.58</v>
      </c>
      <c r="X316">
        <f t="shared" si="4"/>
        <v>1</v>
      </c>
    </row>
    <row r="317" spans="10:24" x14ac:dyDescent="0.3">
      <c r="J317">
        <v>316</v>
      </c>
      <c r="K317">
        <v>3</v>
      </c>
      <c r="L317">
        <v>4</v>
      </c>
      <c r="M317" t="s">
        <v>43</v>
      </c>
      <c r="N317" t="s">
        <v>44</v>
      </c>
      <c r="O317">
        <v>91.2</v>
      </c>
      <c r="P317">
        <v>134.69999999999999</v>
      </c>
      <c r="Q317">
        <v>817.5</v>
      </c>
      <c r="R317">
        <v>7.2</v>
      </c>
      <c r="S317">
        <v>18.5</v>
      </c>
      <c r="T317">
        <v>30</v>
      </c>
      <c r="U317">
        <v>2.7</v>
      </c>
      <c r="V317">
        <v>0</v>
      </c>
      <c r="W317">
        <v>0</v>
      </c>
      <c r="X317">
        <f t="shared" si="4"/>
        <v>0</v>
      </c>
    </row>
    <row r="318" spans="10:24" x14ac:dyDescent="0.3">
      <c r="J318">
        <v>317</v>
      </c>
      <c r="K318">
        <v>4</v>
      </c>
      <c r="L318">
        <v>5</v>
      </c>
      <c r="M318" t="s">
        <v>43</v>
      </c>
      <c r="N318" t="s">
        <v>48</v>
      </c>
      <c r="O318">
        <v>92.4</v>
      </c>
      <c r="P318">
        <v>96.2</v>
      </c>
      <c r="Q318">
        <v>739.4</v>
      </c>
      <c r="R318">
        <v>8.6</v>
      </c>
      <c r="S318">
        <v>18.600000000000001</v>
      </c>
      <c r="T318">
        <v>24</v>
      </c>
      <c r="U318">
        <v>5.8</v>
      </c>
      <c r="V318">
        <v>0</v>
      </c>
      <c r="W318">
        <v>0</v>
      </c>
      <c r="X318">
        <f t="shared" si="4"/>
        <v>0</v>
      </c>
    </row>
    <row r="319" spans="10:24" x14ac:dyDescent="0.3">
      <c r="J319">
        <v>318</v>
      </c>
      <c r="K319">
        <v>4</v>
      </c>
      <c r="L319">
        <v>4</v>
      </c>
      <c r="M319" t="s">
        <v>43</v>
      </c>
      <c r="N319" t="s">
        <v>48</v>
      </c>
      <c r="O319">
        <v>92.4</v>
      </c>
      <c r="P319">
        <v>96.2</v>
      </c>
      <c r="Q319">
        <v>739.4</v>
      </c>
      <c r="R319">
        <v>8.6</v>
      </c>
      <c r="S319">
        <v>19.2</v>
      </c>
      <c r="T319">
        <v>24</v>
      </c>
      <c r="U319">
        <v>4.9000000000000004</v>
      </c>
      <c r="V319">
        <v>0</v>
      </c>
      <c r="W319">
        <v>3.78</v>
      </c>
      <c r="X319">
        <f t="shared" si="4"/>
        <v>1</v>
      </c>
    </row>
    <row r="320" spans="10:24" x14ac:dyDescent="0.3">
      <c r="J320">
        <v>319</v>
      </c>
      <c r="K320">
        <v>6</v>
      </c>
      <c r="L320">
        <v>5</v>
      </c>
      <c r="M320" t="s">
        <v>43</v>
      </c>
      <c r="N320" t="s">
        <v>48</v>
      </c>
      <c r="O320">
        <v>92.8</v>
      </c>
      <c r="P320">
        <v>119</v>
      </c>
      <c r="Q320">
        <v>783.5</v>
      </c>
      <c r="R320">
        <v>7.5</v>
      </c>
      <c r="S320">
        <v>21.6</v>
      </c>
      <c r="T320">
        <v>27</v>
      </c>
      <c r="U320">
        <v>2.2000000000000002</v>
      </c>
      <c r="V320">
        <v>0</v>
      </c>
      <c r="W320">
        <v>0</v>
      </c>
      <c r="X320">
        <f t="shared" si="4"/>
        <v>0</v>
      </c>
    </row>
    <row r="321" spans="10:24" x14ac:dyDescent="0.3">
      <c r="J321">
        <v>320</v>
      </c>
      <c r="K321">
        <v>5</v>
      </c>
      <c r="L321">
        <v>4</v>
      </c>
      <c r="M321" t="s">
        <v>43</v>
      </c>
      <c r="N321" t="s">
        <v>48</v>
      </c>
      <c r="O321">
        <v>92.8</v>
      </c>
      <c r="P321">
        <v>119</v>
      </c>
      <c r="Q321">
        <v>783.5</v>
      </c>
      <c r="R321">
        <v>7.5</v>
      </c>
      <c r="S321">
        <v>21.6</v>
      </c>
      <c r="T321">
        <v>28</v>
      </c>
      <c r="U321">
        <v>6.3</v>
      </c>
      <c r="V321">
        <v>0</v>
      </c>
      <c r="W321">
        <v>4.41</v>
      </c>
      <c r="X321">
        <f t="shared" si="4"/>
        <v>1</v>
      </c>
    </row>
    <row r="322" spans="10:24" x14ac:dyDescent="0.3">
      <c r="J322">
        <v>321</v>
      </c>
      <c r="K322">
        <v>6</v>
      </c>
      <c r="L322">
        <v>3</v>
      </c>
      <c r="M322" t="s">
        <v>43</v>
      </c>
      <c r="N322" t="s">
        <v>48</v>
      </c>
      <c r="O322">
        <v>92.8</v>
      </c>
      <c r="P322">
        <v>119</v>
      </c>
      <c r="Q322">
        <v>783.5</v>
      </c>
      <c r="R322">
        <v>7.5</v>
      </c>
      <c r="S322">
        <v>18.899999999999999</v>
      </c>
      <c r="T322">
        <v>34</v>
      </c>
      <c r="U322">
        <v>7.2</v>
      </c>
      <c r="V322">
        <v>0</v>
      </c>
      <c r="W322">
        <v>34.36</v>
      </c>
      <c r="X322">
        <f t="shared" si="4"/>
        <v>1</v>
      </c>
    </row>
    <row r="323" spans="10:24" x14ac:dyDescent="0.3">
      <c r="J323">
        <v>322</v>
      </c>
      <c r="K323">
        <v>1</v>
      </c>
      <c r="L323">
        <v>4</v>
      </c>
      <c r="M323" t="s">
        <v>43</v>
      </c>
      <c r="N323" t="s">
        <v>48</v>
      </c>
      <c r="O323">
        <v>92.8</v>
      </c>
      <c r="P323">
        <v>119</v>
      </c>
      <c r="Q323">
        <v>783.5</v>
      </c>
      <c r="R323">
        <v>7.5</v>
      </c>
      <c r="S323">
        <v>16.8</v>
      </c>
      <c r="T323">
        <v>28</v>
      </c>
      <c r="U323">
        <v>4</v>
      </c>
      <c r="V323">
        <v>0</v>
      </c>
      <c r="W323">
        <v>7.21</v>
      </c>
      <c r="X323">
        <f t="shared" ref="X323:X386" si="5">IF(W323&gt;0,1,0)</f>
        <v>1</v>
      </c>
    </row>
    <row r="324" spans="10:24" x14ac:dyDescent="0.3">
      <c r="J324">
        <v>323</v>
      </c>
      <c r="K324">
        <v>6</v>
      </c>
      <c r="L324">
        <v>5</v>
      </c>
      <c r="M324" t="s">
        <v>43</v>
      </c>
      <c r="N324" t="s">
        <v>48</v>
      </c>
      <c r="O324">
        <v>92.8</v>
      </c>
      <c r="P324">
        <v>119</v>
      </c>
      <c r="Q324">
        <v>783.5</v>
      </c>
      <c r="R324">
        <v>7.5</v>
      </c>
      <c r="S324">
        <v>16.8</v>
      </c>
      <c r="T324">
        <v>28</v>
      </c>
      <c r="U324">
        <v>4</v>
      </c>
      <c r="V324">
        <v>0</v>
      </c>
      <c r="W324">
        <v>1.01</v>
      </c>
      <c r="X324">
        <f t="shared" si="5"/>
        <v>1</v>
      </c>
    </row>
    <row r="325" spans="10:24" x14ac:dyDescent="0.3">
      <c r="J325">
        <v>324</v>
      </c>
      <c r="K325">
        <v>3</v>
      </c>
      <c r="L325">
        <v>5</v>
      </c>
      <c r="M325" t="s">
        <v>43</v>
      </c>
      <c r="N325" t="s">
        <v>48</v>
      </c>
      <c r="O325">
        <v>90.7</v>
      </c>
      <c r="P325">
        <v>136.9</v>
      </c>
      <c r="Q325">
        <v>822.8</v>
      </c>
      <c r="R325">
        <v>6.8</v>
      </c>
      <c r="S325">
        <v>12.9</v>
      </c>
      <c r="T325">
        <v>39</v>
      </c>
      <c r="U325">
        <v>2.7</v>
      </c>
      <c r="V325">
        <v>0</v>
      </c>
      <c r="W325">
        <v>2.1800000000000002</v>
      </c>
      <c r="X325">
        <f t="shared" si="5"/>
        <v>1</v>
      </c>
    </row>
    <row r="326" spans="10:24" x14ac:dyDescent="0.3">
      <c r="J326">
        <v>325</v>
      </c>
      <c r="K326">
        <v>6</v>
      </c>
      <c r="L326">
        <v>5</v>
      </c>
      <c r="M326" t="s">
        <v>43</v>
      </c>
      <c r="N326" t="s">
        <v>48</v>
      </c>
      <c r="O326">
        <v>88.1</v>
      </c>
      <c r="P326">
        <v>53.3</v>
      </c>
      <c r="Q326">
        <v>726.9</v>
      </c>
      <c r="R326">
        <v>5.4</v>
      </c>
      <c r="S326">
        <v>13.7</v>
      </c>
      <c r="T326">
        <v>56</v>
      </c>
      <c r="U326">
        <v>1.8</v>
      </c>
      <c r="V326">
        <v>0</v>
      </c>
      <c r="W326">
        <v>4.42</v>
      </c>
      <c r="X326">
        <f t="shared" si="5"/>
        <v>1</v>
      </c>
    </row>
    <row r="327" spans="10:24" x14ac:dyDescent="0.3">
      <c r="J327">
        <v>326</v>
      </c>
      <c r="K327">
        <v>1</v>
      </c>
      <c r="L327">
        <v>4</v>
      </c>
      <c r="M327" t="s">
        <v>43</v>
      </c>
      <c r="N327" t="s">
        <v>39</v>
      </c>
      <c r="O327">
        <v>92.2</v>
      </c>
      <c r="P327">
        <v>102.3</v>
      </c>
      <c r="Q327">
        <v>751.5</v>
      </c>
      <c r="R327">
        <v>8.4</v>
      </c>
      <c r="S327">
        <v>24.2</v>
      </c>
      <c r="T327">
        <v>27</v>
      </c>
      <c r="U327">
        <v>3.1</v>
      </c>
      <c r="V327">
        <v>0</v>
      </c>
      <c r="W327">
        <v>0</v>
      </c>
      <c r="X327">
        <f t="shared" si="5"/>
        <v>0</v>
      </c>
    </row>
    <row r="328" spans="10:24" x14ac:dyDescent="0.3">
      <c r="J328">
        <v>327</v>
      </c>
      <c r="K328">
        <v>5</v>
      </c>
      <c r="L328">
        <v>4</v>
      </c>
      <c r="M328" t="s">
        <v>43</v>
      </c>
      <c r="N328" t="s">
        <v>39</v>
      </c>
      <c r="O328">
        <v>92.2</v>
      </c>
      <c r="P328">
        <v>102.3</v>
      </c>
      <c r="Q328">
        <v>751.5</v>
      </c>
      <c r="R328">
        <v>8.4</v>
      </c>
      <c r="S328">
        <v>24.1</v>
      </c>
      <c r="T328">
        <v>27</v>
      </c>
      <c r="U328">
        <v>3.1</v>
      </c>
      <c r="V328">
        <v>0</v>
      </c>
      <c r="W328">
        <v>0</v>
      </c>
      <c r="X328">
        <f t="shared" si="5"/>
        <v>0</v>
      </c>
    </row>
    <row r="329" spans="10:24" x14ac:dyDescent="0.3">
      <c r="J329">
        <v>328</v>
      </c>
      <c r="K329">
        <v>6</v>
      </c>
      <c r="L329">
        <v>5</v>
      </c>
      <c r="M329" t="s">
        <v>43</v>
      </c>
      <c r="N329" t="s">
        <v>39</v>
      </c>
      <c r="O329">
        <v>92.2</v>
      </c>
      <c r="P329">
        <v>102.3</v>
      </c>
      <c r="Q329">
        <v>751.5</v>
      </c>
      <c r="R329">
        <v>8.4</v>
      </c>
      <c r="S329">
        <v>21.2</v>
      </c>
      <c r="T329">
        <v>32</v>
      </c>
      <c r="U329">
        <v>2.2000000000000002</v>
      </c>
      <c r="V329">
        <v>0</v>
      </c>
      <c r="W329">
        <v>0</v>
      </c>
      <c r="X329">
        <f t="shared" si="5"/>
        <v>0</v>
      </c>
    </row>
    <row r="330" spans="10:24" x14ac:dyDescent="0.3">
      <c r="J330">
        <v>329</v>
      </c>
      <c r="K330">
        <v>6</v>
      </c>
      <c r="L330">
        <v>5</v>
      </c>
      <c r="M330" t="s">
        <v>43</v>
      </c>
      <c r="N330" t="s">
        <v>39</v>
      </c>
      <c r="O330">
        <v>92.2</v>
      </c>
      <c r="P330">
        <v>102.3</v>
      </c>
      <c r="Q330">
        <v>751.5</v>
      </c>
      <c r="R330">
        <v>8.4</v>
      </c>
      <c r="S330">
        <v>19.7</v>
      </c>
      <c r="T330">
        <v>35</v>
      </c>
      <c r="U330">
        <v>1.8</v>
      </c>
      <c r="V330">
        <v>0</v>
      </c>
      <c r="W330">
        <v>0</v>
      </c>
      <c r="X330">
        <f t="shared" si="5"/>
        <v>0</v>
      </c>
    </row>
    <row r="331" spans="10:24" x14ac:dyDescent="0.3">
      <c r="J331">
        <v>330</v>
      </c>
      <c r="K331">
        <v>4</v>
      </c>
      <c r="L331">
        <v>3</v>
      </c>
      <c r="M331" t="s">
        <v>43</v>
      </c>
      <c r="N331" t="s">
        <v>39</v>
      </c>
      <c r="O331">
        <v>92.2</v>
      </c>
      <c r="P331">
        <v>102.3</v>
      </c>
      <c r="Q331">
        <v>751.5</v>
      </c>
      <c r="R331">
        <v>8.4</v>
      </c>
      <c r="S331">
        <v>23.5</v>
      </c>
      <c r="T331">
        <v>27</v>
      </c>
      <c r="U331">
        <v>4</v>
      </c>
      <c r="V331">
        <v>0</v>
      </c>
      <c r="W331">
        <v>3.33</v>
      </c>
      <c r="X331">
        <f t="shared" si="5"/>
        <v>1</v>
      </c>
    </row>
    <row r="332" spans="10:24" x14ac:dyDescent="0.3">
      <c r="J332">
        <v>331</v>
      </c>
      <c r="K332">
        <v>3</v>
      </c>
      <c r="L332">
        <v>3</v>
      </c>
      <c r="M332" t="s">
        <v>43</v>
      </c>
      <c r="N332" t="s">
        <v>39</v>
      </c>
      <c r="O332">
        <v>92.2</v>
      </c>
      <c r="P332">
        <v>102.3</v>
      </c>
      <c r="Q332">
        <v>751.5</v>
      </c>
      <c r="R332">
        <v>8.4</v>
      </c>
      <c r="S332">
        <v>24.2</v>
      </c>
      <c r="T332">
        <v>27</v>
      </c>
      <c r="U332">
        <v>3.1</v>
      </c>
      <c r="V332">
        <v>0</v>
      </c>
      <c r="W332">
        <v>6.58</v>
      </c>
      <c r="X332">
        <f t="shared" si="5"/>
        <v>1</v>
      </c>
    </row>
    <row r="333" spans="10:24" x14ac:dyDescent="0.3">
      <c r="J333">
        <v>332</v>
      </c>
      <c r="K333">
        <v>7</v>
      </c>
      <c r="L333">
        <v>4</v>
      </c>
      <c r="M333" t="s">
        <v>43</v>
      </c>
      <c r="N333" t="s">
        <v>39</v>
      </c>
      <c r="O333">
        <v>91.2</v>
      </c>
      <c r="P333">
        <v>124.4</v>
      </c>
      <c r="Q333">
        <v>795.3</v>
      </c>
      <c r="R333">
        <v>8.5</v>
      </c>
      <c r="S333">
        <v>21.5</v>
      </c>
      <c r="T333">
        <v>28</v>
      </c>
      <c r="U333">
        <v>4.5</v>
      </c>
      <c r="V333">
        <v>0</v>
      </c>
      <c r="W333">
        <v>15.64</v>
      </c>
      <c r="X333">
        <f t="shared" si="5"/>
        <v>1</v>
      </c>
    </row>
    <row r="334" spans="10:24" x14ac:dyDescent="0.3">
      <c r="J334">
        <v>333</v>
      </c>
      <c r="K334">
        <v>4</v>
      </c>
      <c r="L334">
        <v>4</v>
      </c>
      <c r="M334" t="s">
        <v>43</v>
      </c>
      <c r="N334" t="s">
        <v>39</v>
      </c>
      <c r="O334">
        <v>91.2</v>
      </c>
      <c r="P334">
        <v>124.4</v>
      </c>
      <c r="Q334">
        <v>795.3</v>
      </c>
      <c r="R334">
        <v>8.5</v>
      </c>
      <c r="S334">
        <v>17.100000000000001</v>
      </c>
      <c r="T334">
        <v>41</v>
      </c>
      <c r="U334">
        <v>2.2000000000000002</v>
      </c>
      <c r="V334">
        <v>0</v>
      </c>
      <c r="W334">
        <v>11.22</v>
      </c>
      <c r="X334">
        <f t="shared" si="5"/>
        <v>1</v>
      </c>
    </row>
    <row r="335" spans="10:24" x14ac:dyDescent="0.3">
      <c r="J335">
        <v>334</v>
      </c>
      <c r="K335">
        <v>1</v>
      </c>
      <c r="L335">
        <v>4</v>
      </c>
      <c r="M335" t="s">
        <v>43</v>
      </c>
      <c r="N335" t="s">
        <v>42</v>
      </c>
      <c r="O335">
        <v>92.1</v>
      </c>
      <c r="P335">
        <v>87.7</v>
      </c>
      <c r="Q335">
        <v>721.1</v>
      </c>
      <c r="R335">
        <v>9.5</v>
      </c>
      <c r="S335">
        <v>18.100000000000001</v>
      </c>
      <c r="T335">
        <v>54</v>
      </c>
      <c r="U335">
        <v>3.1</v>
      </c>
      <c r="V335">
        <v>0</v>
      </c>
      <c r="W335">
        <v>2.13</v>
      </c>
      <c r="X335">
        <f t="shared" si="5"/>
        <v>1</v>
      </c>
    </row>
    <row r="336" spans="10:24" x14ac:dyDescent="0.3">
      <c r="J336">
        <v>335</v>
      </c>
      <c r="K336">
        <v>2</v>
      </c>
      <c r="L336">
        <v>3</v>
      </c>
      <c r="M336" t="s">
        <v>43</v>
      </c>
      <c r="N336" t="s">
        <v>42</v>
      </c>
      <c r="O336">
        <v>91.6</v>
      </c>
      <c r="P336">
        <v>108.4</v>
      </c>
      <c r="Q336">
        <v>764</v>
      </c>
      <c r="R336">
        <v>6.2</v>
      </c>
      <c r="S336">
        <v>18</v>
      </c>
      <c r="T336">
        <v>51</v>
      </c>
      <c r="U336">
        <v>5.4</v>
      </c>
      <c r="V336">
        <v>0</v>
      </c>
      <c r="W336">
        <v>0</v>
      </c>
      <c r="X336">
        <f t="shared" si="5"/>
        <v>0</v>
      </c>
    </row>
    <row r="337" spans="10:24" x14ac:dyDescent="0.3">
      <c r="J337">
        <v>336</v>
      </c>
      <c r="K337">
        <v>4</v>
      </c>
      <c r="L337">
        <v>3</v>
      </c>
      <c r="M337" t="s">
        <v>43</v>
      </c>
      <c r="N337" t="s">
        <v>42</v>
      </c>
      <c r="O337">
        <v>91.6</v>
      </c>
      <c r="P337">
        <v>108.4</v>
      </c>
      <c r="Q337">
        <v>764</v>
      </c>
      <c r="R337">
        <v>6.2</v>
      </c>
      <c r="S337">
        <v>9.8000000000000007</v>
      </c>
      <c r="T337">
        <v>86</v>
      </c>
      <c r="U337">
        <v>1.8</v>
      </c>
      <c r="V337">
        <v>0</v>
      </c>
      <c r="W337">
        <v>0</v>
      </c>
      <c r="X337">
        <f t="shared" si="5"/>
        <v>0</v>
      </c>
    </row>
    <row r="338" spans="10:24" x14ac:dyDescent="0.3">
      <c r="J338">
        <v>337</v>
      </c>
      <c r="K338">
        <v>7</v>
      </c>
      <c r="L338">
        <v>4</v>
      </c>
      <c r="M338" t="s">
        <v>43</v>
      </c>
      <c r="N338" t="s">
        <v>42</v>
      </c>
      <c r="O338">
        <v>91.6</v>
      </c>
      <c r="P338">
        <v>108.4</v>
      </c>
      <c r="Q338">
        <v>764</v>
      </c>
      <c r="R338">
        <v>6.2</v>
      </c>
      <c r="S338">
        <v>19.3</v>
      </c>
      <c r="T338">
        <v>44</v>
      </c>
      <c r="U338">
        <v>2.2000000000000002</v>
      </c>
      <c r="V338">
        <v>0</v>
      </c>
      <c r="W338">
        <v>0</v>
      </c>
      <c r="X338">
        <f t="shared" si="5"/>
        <v>0</v>
      </c>
    </row>
    <row r="339" spans="10:24" x14ac:dyDescent="0.3">
      <c r="J339">
        <v>338</v>
      </c>
      <c r="K339">
        <v>6</v>
      </c>
      <c r="L339">
        <v>3</v>
      </c>
      <c r="M339" t="s">
        <v>43</v>
      </c>
      <c r="N339" t="s">
        <v>42</v>
      </c>
      <c r="O339">
        <v>91.6</v>
      </c>
      <c r="P339">
        <v>108.4</v>
      </c>
      <c r="Q339">
        <v>764</v>
      </c>
      <c r="R339">
        <v>6.2</v>
      </c>
      <c r="S339">
        <v>23</v>
      </c>
      <c r="T339">
        <v>34</v>
      </c>
      <c r="U339">
        <v>2.2000000000000002</v>
      </c>
      <c r="V339">
        <v>0</v>
      </c>
      <c r="W339">
        <v>56.04</v>
      </c>
      <c r="X339">
        <f t="shared" si="5"/>
        <v>1</v>
      </c>
    </row>
    <row r="340" spans="10:24" x14ac:dyDescent="0.3">
      <c r="J340">
        <v>339</v>
      </c>
      <c r="K340">
        <v>8</v>
      </c>
      <c r="L340">
        <v>6</v>
      </c>
      <c r="M340" t="s">
        <v>43</v>
      </c>
      <c r="N340" t="s">
        <v>42</v>
      </c>
      <c r="O340">
        <v>91.6</v>
      </c>
      <c r="P340">
        <v>108.4</v>
      </c>
      <c r="Q340">
        <v>764</v>
      </c>
      <c r="R340">
        <v>6.2</v>
      </c>
      <c r="S340">
        <v>22.7</v>
      </c>
      <c r="T340">
        <v>35</v>
      </c>
      <c r="U340">
        <v>2.2000000000000002</v>
      </c>
      <c r="V340">
        <v>0</v>
      </c>
      <c r="W340">
        <v>7.48</v>
      </c>
      <c r="X340">
        <f t="shared" si="5"/>
        <v>1</v>
      </c>
    </row>
    <row r="341" spans="10:24" x14ac:dyDescent="0.3">
      <c r="J341">
        <v>340</v>
      </c>
      <c r="K341">
        <v>2</v>
      </c>
      <c r="L341">
        <v>4</v>
      </c>
      <c r="M341" t="s">
        <v>43</v>
      </c>
      <c r="N341" t="s">
        <v>42</v>
      </c>
      <c r="O341">
        <v>91.6</v>
      </c>
      <c r="P341">
        <v>108.4</v>
      </c>
      <c r="Q341">
        <v>764</v>
      </c>
      <c r="R341">
        <v>6.2</v>
      </c>
      <c r="S341">
        <v>20.399999999999999</v>
      </c>
      <c r="T341">
        <v>41</v>
      </c>
      <c r="U341">
        <v>1.8</v>
      </c>
      <c r="V341">
        <v>0</v>
      </c>
      <c r="W341">
        <v>1.47</v>
      </c>
      <c r="X341">
        <f t="shared" si="5"/>
        <v>1</v>
      </c>
    </row>
    <row r="342" spans="10:24" x14ac:dyDescent="0.3">
      <c r="J342">
        <v>341</v>
      </c>
      <c r="K342">
        <v>2</v>
      </c>
      <c r="L342">
        <v>5</v>
      </c>
      <c r="M342" t="s">
        <v>43</v>
      </c>
      <c r="N342" t="s">
        <v>42</v>
      </c>
      <c r="O342">
        <v>91.6</v>
      </c>
      <c r="P342">
        <v>108.4</v>
      </c>
      <c r="Q342">
        <v>764</v>
      </c>
      <c r="R342">
        <v>6.2</v>
      </c>
      <c r="S342">
        <v>19.3</v>
      </c>
      <c r="T342">
        <v>44</v>
      </c>
      <c r="U342">
        <v>2.2000000000000002</v>
      </c>
      <c r="V342">
        <v>0</v>
      </c>
      <c r="W342">
        <v>3.93</v>
      </c>
      <c r="X342">
        <f t="shared" si="5"/>
        <v>1</v>
      </c>
    </row>
    <row r="343" spans="10:24" x14ac:dyDescent="0.3">
      <c r="J343">
        <v>342</v>
      </c>
      <c r="K343">
        <v>8</v>
      </c>
      <c r="L343">
        <v>6</v>
      </c>
      <c r="M343" t="s">
        <v>43</v>
      </c>
      <c r="N343" t="s">
        <v>42</v>
      </c>
      <c r="O343">
        <v>91.9</v>
      </c>
      <c r="P343">
        <v>111.7</v>
      </c>
      <c r="Q343">
        <v>770.3</v>
      </c>
      <c r="R343">
        <v>6.5</v>
      </c>
      <c r="S343">
        <v>15.7</v>
      </c>
      <c r="T343">
        <v>51</v>
      </c>
      <c r="U343">
        <v>2.2000000000000002</v>
      </c>
      <c r="V343">
        <v>0</v>
      </c>
      <c r="W343">
        <v>0</v>
      </c>
      <c r="X343">
        <f t="shared" si="5"/>
        <v>0</v>
      </c>
    </row>
    <row r="344" spans="10:24" x14ac:dyDescent="0.3">
      <c r="J344">
        <v>343</v>
      </c>
      <c r="K344">
        <v>6</v>
      </c>
      <c r="L344">
        <v>3</v>
      </c>
      <c r="M344" t="s">
        <v>43</v>
      </c>
      <c r="N344" t="s">
        <v>42</v>
      </c>
      <c r="O344">
        <v>91.5</v>
      </c>
      <c r="P344">
        <v>130.1</v>
      </c>
      <c r="Q344">
        <v>807.1</v>
      </c>
      <c r="R344">
        <v>7.5</v>
      </c>
      <c r="S344">
        <v>20.6</v>
      </c>
      <c r="T344">
        <v>37</v>
      </c>
      <c r="U344">
        <v>1.8</v>
      </c>
      <c r="V344">
        <v>0</v>
      </c>
      <c r="W344">
        <v>0</v>
      </c>
      <c r="X344">
        <f t="shared" si="5"/>
        <v>0</v>
      </c>
    </row>
    <row r="345" spans="10:24" x14ac:dyDescent="0.3">
      <c r="J345">
        <v>344</v>
      </c>
      <c r="K345">
        <v>8</v>
      </c>
      <c r="L345">
        <v>6</v>
      </c>
      <c r="M345" t="s">
        <v>43</v>
      </c>
      <c r="N345" t="s">
        <v>42</v>
      </c>
      <c r="O345">
        <v>91.5</v>
      </c>
      <c r="P345">
        <v>130.1</v>
      </c>
      <c r="Q345">
        <v>807.1</v>
      </c>
      <c r="R345">
        <v>7.5</v>
      </c>
      <c r="S345">
        <v>15.9</v>
      </c>
      <c r="T345">
        <v>51</v>
      </c>
      <c r="U345">
        <v>4.5</v>
      </c>
      <c r="V345">
        <v>0</v>
      </c>
      <c r="W345">
        <v>2.1800000000000002</v>
      </c>
      <c r="X345">
        <f t="shared" si="5"/>
        <v>1</v>
      </c>
    </row>
    <row r="346" spans="10:24" x14ac:dyDescent="0.3">
      <c r="J346">
        <v>345</v>
      </c>
      <c r="K346">
        <v>6</v>
      </c>
      <c r="L346">
        <v>3</v>
      </c>
      <c r="M346" t="s">
        <v>43</v>
      </c>
      <c r="N346" t="s">
        <v>42</v>
      </c>
      <c r="O346">
        <v>91.5</v>
      </c>
      <c r="P346">
        <v>130.1</v>
      </c>
      <c r="Q346">
        <v>807.1</v>
      </c>
      <c r="R346">
        <v>7.5</v>
      </c>
      <c r="S346">
        <v>12.2</v>
      </c>
      <c r="T346">
        <v>66</v>
      </c>
      <c r="U346">
        <v>4.9000000000000004</v>
      </c>
      <c r="V346">
        <v>0</v>
      </c>
      <c r="W346">
        <v>6.1</v>
      </c>
      <c r="X346">
        <f t="shared" si="5"/>
        <v>1</v>
      </c>
    </row>
    <row r="347" spans="10:24" x14ac:dyDescent="0.3">
      <c r="J347">
        <v>346</v>
      </c>
      <c r="K347">
        <v>2</v>
      </c>
      <c r="L347">
        <v>2</v>
      </c>
      <c r="M347" t="s">
        <v>43</v>
      </c>
      <c r="N347" t="s">
        <v>42</v>
      </c>
      <c r="O347">
        <v>91.5</v>
      </c>
      <c r="P347">
        <v>130.1</v>
      </c>
      <c r="Q347">
        <v>807.1</v>
      </c>
      <c r="R347">
        <v>7.5</v>
      </c>
      <c r="S347">
        <v>16.8</v>
      </c>
      <c r="T347">
        <v>43</v>
      </c>
      <c r="U347">
        <v>3.1</v>
      </c>
      <c r="V347">
        <v>0</v>
      </c>
      <c r="W347">
        <v>5.83</v>
      </c>
      <c r="X347">
        <f t="shared" si="5"/>
        <v>1</v>
      </c>
    </row>
    <row r="348" spans="10:24" x14ac:dyDescent="0.3">
      <c r="J348">
        <v>347</v>
      </c>
      <c r="K348">
        <v>1</v>
      </c>
      <c r="L348">
        <v>4</v>
      </c>
      <c r="M348" t="s">
        <v>43</v>
      </c>
      <c r="N348" t="s">
        <v>42</v>
      </c>
      <c r="O348">
        <v>91.5</v>
      </c>
      <c r="P348">
        <v>130.1</v>
      </c>
      <c r="Q348">
        <v>807.1</v>
      </c>
      <c r="R348">
        <v>7.5</v>
      </c>
      <c r="S348">
        <v>21.3</v>
      </c>
      <c r="T348">
        <v>35</v>
      </c>
      <c r="U348">
        <v>2.2000000000000002</v>
      </c>
      <c r="V348">
        <v>0</v>
      </c>
      <c r="W348">
        <v>28.19</v>
      </c>
      <c r="X348">
        <f t="shared" si="5"/>
        <v>1</v>
      </c>
    </row>
    <row r="349" spans="10:24" x14ac:dyDescent="0.3">
      <c r="J349">
        <v>348</v>
      </c>
      <c r="K349">
        <v>5</v>
      </c>
      <c r="L349">
        <v>4</v>
      </c>
      <c r="M349" t="s">
        <v>43</v>
      </c>
      <c r="N349" t="s">
        <v>36</v>
      </c>
      <c r="O349">
        <v>92.1</v>
      </c>
      <c r="P349">
        <v>99</v>
      </c>
      <c r="Q349">
        <v>745.3</v>
      </c>
      <c r="R349">
        <v>9.6</v>
      </c>
      <c r="S349">
        <v>10.1</v>
      </c>
      <c r="T349">
        <v>75</v>
      </c>
      <c r="U349">
        <v>3.6</v>
      </c>
      <c r="V349">
        <v>0</v>
      </c>
      <c r="W349">
        <v>0</v>
      </c>
      <c r="X349">
        <f t="shared" si="5"/>
        <v>0</v>
      </c>
    </row>
    <row r="350" spans="10:24" x14ac:dyDescent="0.3">
      <c r="J350">
        <v>349</v>
      </c>
      <c r="K350">
        <v>3</v>
      </c>
      <c r="L350">
        <v>4</v>
      </c>
      <c r="M350" t="s">
        <v>43</v>
      </c>
      <c r="N350" t="s">
        <v>36</v>
      </c>
      <c r="O350">
        <v>92.1</v>
      </c>
      <c r="P350">
        <v>99</v>
      </c>
      <c r="Q350">
        <v>745.3</v>
      </c>
      <c r="R350">
        <v>9.6</v>
      </c>
      <c r="S350">
        <v>17.399999999999999</v>
      </c>
      <c r="T350">
        <v>57</v>
      </c>
      <c r="U350">
        <v>4.5</v>
      </c>
      <c r="V350">
        <v>0</v>
      </c>
      <c r="W350">
        <v>0</v>
      </c>
      <c r="X350">
        <f t="shared" si="5"/>
        <v>0</v>
      </c>
    </row>
    <row r="351" spans="10:24" x14ac:dyDescent="0.3">
      <c r="J351">
        <v>350</v>
      </c>
      <c r="K351">
        <v>5</v>
      </c>
      <c r="L351">
        <v>4</v>
      </c>
      <c r="M351" t="s">
        <v>43</v>
      </c>
      <c r="N351" t="s">
        <v>36</v>
      </c>
      <c r="O351">
        <v>92.1</v>
      </c>
      <c r="P351">
        <v>99</v>
      </c>
      <c r="Q351">
        <v>745.3</v>
      </c>
      <c r="R351">
        <v>9.6</v>
      </c>
      <c r="S351">
        <v>12.8</v>
      </c>
      <c r="T351">
        <v>64</v>
      </c>
      <c r="U351">
        <v>3.6</v>
      </c>
      <c r="V351">
        <v>0</v>
      </c>
      <c r="W351">
        <v>1.64</v>
      </c>
      <c r="X351">
        <f t="shared" si="5"/>
        <v>1</v>
      </c>
    </row>
    <row r="352" spans="10:24" x14ac:dyDescent="0.3">
      <c r="J352">
        <v>351</v>
      </c>
      <c r="K352">
        <v>5</v>
      </c>
      <c r="L352">
        <v>4</v>
      </c>
      <c r="M352" t="s">
        <v>43</v>
      </c>
      <c r="N352" t="s">
        <v>36</v>
      </c>
      <c r="O352">
        <v>92.1</v>
      </c>
      <c r="P352">
        <v>99</v>
      </c>
      <c r="Q352">
        <v>745.3</v>
      </c>
      <c r="R352">
        <v>9.6</v>
      </c>
      <c r="S352">
        <v>10.1</v>
      </c>
      <c r="T352">
        <v>75</v>
      </c>
      <c r="U352">
        <v>3.6</v>
      </c>
      <c r="V352">
        <v>0</v>
      </c>
      <c r="W352">
        <v>3.71</v>
      </c>
      <c r="X352">
        <f t="shared" si="5"/>
        <v>1</v>
      </c>
    </row>
    <row r="353" spans="10:24" x14ac:dyDescent="0.3">
      <c r="J353">
        <v>352</v>
      </c>
      <c r="K353">
        <v>4</v>
      </c>
      <c r="L353">
        <v>4</v>
      </c>
      <c r="M353" t="s">
        <v>43</v>
      </c>
      <c r="N353" t="s">
        <v>36</v>
      </c>
      <c r="O353">
        <v>92.1</v>
      </c>
      <c r="P353">
        <v>99</v>
      </c>
      <c r="Q353">
        <v>745.3</v>
      </c>
      <c r="R353">
        <v>9.6</v>
      </c>
      <c r="S353">
        <v>15.4</v>
      </c>
      <c r="T353">
        <v>53</v>
      </c>
      <c r="U353">
        <v>6.3</v>
      </c>
      <c r="V353">
        <v>0</v>
      </c>
      <c r="W353">
        <v>7.31</v>
      </c>
      <c r="X353">
        <f t="shared" si="5"/>
        <v>1</v>
      </c>
    </row>
    <row r="354" spans="10:24" x14ac:dyDescent="0.3">
      <c r="J354">
        <v>353</v>
      </c>
      <c r="K354">
        <v>7</v>
      </c>
      <c r="L354">
        <v>4</v>
      </c>
      <c r="M354" t="s">
        <v>43</v>
      </c>
      <c r="N354" t="s">
        <v>36</v>
      </c>
      <c r="O354">
        <v>92.1</v>
      </c>
      <c r="P354">
        <v>99</v>
      </c>
      <c r="Q354">
        <v>745.3</v>
      </c>
      <c r="R354">
        <v>9.6</v>
      </c>
      <c r="S354">
        <v>20.6</v>
      </c>
      <c r="T354">
        <v>43</v>
      </c>
      <c r="U354">
        <v>3.6</v>
      </c>
      <c r="V354">
        <v>0</v>
      </c>
      <c r="W354">
        <v>2.0299999999999998</v>
      </c>
      <c r="X354">
        <f t="shared" si="5"/>
        <v>1</v>
      </c>
    </row>
    <row r="355" spans="10:24" x14ac:dyDescent="0.3">
      <c r="J355">
        <v>354</v>
      </c>
      <c r="K355">
        <v>7</v>
      </c>
      <c r="L355">
        <v>4</v>
      </c>
      <c r="M355" t="s">
        <v>43</v>
      </c>
      <c r="N355" t="s">
        <v>36</v>
      </c>
      <c r="O355">
        <v>92.1</v>
      </c>
      <c r="P355">
        <v>99</v>
      </c>
      <c r="Q355">
        <v>745.3</v>
      </c>
      <c r="R355">
        <v>9.6</v>
      </c>
      <c r="S355">
        <v>19.8</v>
      </c>
      <c r="T355">
        <v>47</v>
      </c>
      <c r="U355">
        <v>2.7</v>
      </c>
      <c r="V355">
        <v>0</v>
      </c>
      <c r="W355">
        <v>1.72</v>
      </c>
      <c r="X355">
        <f t="shared" si="5"/>
        <v>1</v>
      </c>
    </row>
    <row r="356" spans="10:24" x14ac:dyDescent="0.3">
      <c r="J356">
        <v>355</v>
      </c>
      <c r="K356">
        <v>7</v>
      </c>
      <c r="L356">
        <v>4</v>
      </c>
      <c r="M356" t="s">
        <v>43</v>
      </c>
      <c r="N356" t="s">
        <v>36</v>
      </c>
      <c r="O356">
        <v>92.1</v>
      </c>
      <c r="P356">
        <v>99</v>
      </c>
      <c r="Q356">
        <v>745.3</v>
      </c>
      <c r="R356">
        <v>9.6</v>
      </c>
      <c r="S356">
        <v>18.7</v>
      </c>
      <c r="T356">
        <v>50</v>
      </c>
      <c r="U356">
        <v>2.2000000000000002</v>
      </c>
      <c r="V356">
        <v>0</v>
      </c>
      <c r="W356">
        <v>5.97</v>
      </c>
      <c r="X356">
        <f t="shared" si="5"/>
        <v>1</v>
      </c>
    </row>
    <row r="357" spans="10:24" x14ac:dyDescent="0.3">
      <c r="J357">
        <v>356</v>
      </c>
      <c r="K357">
        <v>4</v>
      </c>
      <c r="L357">
        <v>4</v>
      </c>
      <c r="M357" t="s">
        <v>43</v>
      </c>
      <c r="N357" t="s">
        <v>36</v>
      </c>
      <c r="O357">
        <v>92.1</v>
      </c>
      <c r="P357">
        <v>99</v>
      </c>
      <c r="Q357">
        <v>745.3</v>
      </c>
      <c r="R357">
        <v>9.6</v>
      </c>
      <c r="S357">
        <v>20.8</v>
      </c>
      <c r="T357">
        <v>35</v>
      </c>
      <c r="U357">
        <v>4.9000000000000004</v>
      </c>
      <c r="V357">
        <v>0</v>
      </c>
      <c r="W357">
        <v>13.06</v>
      </c>
      <c r="X357">
        <f t="shared" si="5"/>
        <v>1</v>
      </c>
    </row>
    <row r="358" spans="10:24" x14ac:dyDescent="0.3">
      <c r="J358">
        <v>357</v>
      </c>
      <c r="K358">
        <v>4</v>
      </c>
      <c r="L358">
        <v>4</v>
      </c>
      <c r="M358" t="s">
        <v>43</v>
      </c>
      <c r="N358" t="s">
        <v>36</v>
      </c>
      <c r="O358">
        <v>92.1</v>
      </c>
      <c r="P358">
        <v>99</v>
      </c>
      <c r="Q358">
        <v>745.3</v>
      </c>
      <c r="R358">
        <v>9.6</v>
      </c>
      <c r="S358">
        <v>20.8</v>
      </c>
      <c r="T358">
        <v>35</v>
      </c>
      <c r="U358">
        <v>4.9000000000000004</v>
      </c>
      <c r="V358">
        <v>0</v>
      </c>
      <c r="W358">
        <v>1.26</v>
      </c>
      <c r="X358">
        <f t="shared" si="5"/>
        <v>1</v>
      </c>
    </row>
    <row r="359" spans="10:24" x14ac:dyDescent="0.3">
      <c r="J359">
        <v>358</v>
      </c>
      <c r="K359">
        <v>6</v>
      </c>
      <c r="L359">
        <v>3</v>
      </c>
      <c r="M359" t="s">
        <v>43</v>
      </c>
      <c r="N359" t="s">
        <v>36</v>
      </c>
      <c r="O359">
        <v>92.5</v>
      </c>
      <c r="P359">
        <v>122</v>
      </c>
      <c r="Q359">
        <v>789.7</v>
      </c>
      <c r="R359">
        <v>10.199999999999999</v>
      </c>
      <c r="S359">
        <v>15.9</v>
      </c>
      <c r="T359">
        <v>55</v>
      </c>
      <c r="U359">
        <v>3.6</v>
      </c>
      <c r="V359">
        <v>0</v>
      </c>
      <c r="W359">
        <v>0</v>
      </c>
      <c r="X359">
        <f t="shared" si="5"/>
        <v>0</v>
      </c>
    </row>
    <row r="360" spans="10:24" x14ac:dyDescent="0.3">
      <c r="J360">
        <v>359</v>
      </c>
      <c r="K360">
        <v>6</v>
      </c>
      <c r="L360">
        <v>3</v>
      </c>
      <c r="M360" t="s">
        <v>43</v>
      </c>
      <c r="N360" t="s">
        <v>36</v>
      </c>
      <c r="O360">
        <v>92.5</v>
      </c>
      <c r="P360">
        <v>122</v>
      </c>
      <c r="Q360">
        <v>789.7</v>
      </c>
      <c r="R360">
        <v>10.199999999999999</v>
      </c>
      <c r="S360">
        <v>19.7</v>
      </c>
      <c r="T360">
        <v>39</v>
      </c>
      <c r="U360">
        <v>2.7</v>
      </c>
      <c r="V360">
        <v>0</v>
      </c>
      <c r="W360">
        <v>0</v>
      </c>
      <c r="X360">
        <f t="shared" si="5"/>
        <v>0</v>
      </c>
    </row>
    <row r="361" spans="10:24" x14ac:dyDescent="0.3">
      <c r="J361">
        <v>360</v>
      </c>
      <c r="K361">
        <v>1</v>
      </c>
      <c r="L361">
        <v>4</v>
      </c>
      <c r="M361" t="s">
        <v>43</v>
      </c>
      <c r="N361" t="s">
        <v>36</v>
      </c>
      <c r="O361">
        <v>92.5</v>
      </c>
      <c r="P361">
        <v>122</v>
      </c>
      <c r="Q361">
        <v>789.7</v>
      </c>
      <c r="R361">
        <v>10.199999999999999</v>
      </c>
      <c r="S361">
        <v>21.1</v>
      </c>
      <c r="T361">
        <v>39</v>
      </c>
      <c r="U361">
        <v>2.2000000000000002</v>
      </c>
      <c r="V361">
        <v>0</v>
      </c>
      <c r="W361">
        <v>8.1199999999999992</v>
      </c>
      <c r="X361">
        <f t="shared" si="5"/>
        <v>1</v>
      </c>
    </row>
    <row r="362" spans="10:24" x14ac:dyDescent="0.3">
      <c r="J362">
        <v>361</v>
      </c>
      <c r="K362">
        <v>6</v>
      </c>
      <c r="L362">
        <v>5</v>
      </c>
      <c r="M362" t="s">
        <v>43</v>
      </c>
      <c r="N362" t="s">
        <v>36</v>
      </c>
      <c r="O362">
        <v>92.5</v>
      </c>
      <c r="P362">
        <v>122</v>
      </c>
      <c r="Q362">
        <v>789.7</v>
      </c>
      <c r="R362">
        <v>10.199999999999999</v>
      </c>
      <c r="S362">
        <v>18.399999999999999</v>
      </c>
      <c r="T362">
        <v>42</v>
      </c>
      <c r="U362">
        <v>2.2000000000000002</v>
      </c>
      <c r="V362">
        <v>0</v>
      </c>
      <c r="W362">
        <v>1.0900000000000001</v>
      </c>
      <c r="X362">
        <f t="shared" si="5"/>
        <v>1</v>
      </c>
    </row>
    <row r="363" spans="10:24" x14ac:dyDescent="0.3">
      <c r="J363">
        <v>362</v>
      </c>
      <c r="K363">
        <v>4</v>
      </c>
      <c r="L363">
        <v>3</v>
      </c>
      <c r="M363" t="s">
        <v>43</v>
      </c>
      <c r="N363" t="s">
        <v>36</v>
      </c>
      <c r="O363">
        <v>92.5</v>
      </c>
      <c r="P363">
        <v>122</v>
      </c>
      <c r="Q363">
        <v>789.7</v>
      </c>
      <c r="R363">
        <v>10.199999999999999</v>
      </c>
      <c r="S363">
        <v>17.3</v>
      </c>
      <c r="T363">
        <v>45</v>
      </c>
      <c r="U363">
        <v>4</v>
      </c>
      <c r="V363">
        <v>0</v>
      </c>
      <c r="W363">
        <v>3.94</v>
      </c>
      <c r="X363">
        <f t="shared" si="5"/>
        <v>1</v>
      </c>
    </row>
    <row r="364" spans="10:24" x14ac:dyDescent="0.3">
      <c r="J364">
        <v>363</v>
      </c>
      <c r="K364">
        <v>7</v>
      </c>
      <c r="L364">
        <v>4</v>
      </c>
      <c r="M364" t="s">
        <v>43</v>
      </c>
      <c r="N364" t="s">
        <v>36</v>
      </c>
      <c r="O364">
        <v>88.2</v>
      </c>
      <c r="P364">
        <v>55.2</v>
      </c>
      <c r="Q364">
        <v>732.3</v>
      </c>
      <c r="R364">
        <v>11.6</v>
      </c>
      <c r="S364">
        <v>15.2</v>
      </c>
      <c r="T364">
        <v>64</v>
      </c>
      <c r="U364">
        <v>3.1</v>
      </c>
      <c r="V364">
        <v>0</v>
      </c>
      <c r="W364">
        <v>0.52</v>
      </c>
      <c r="X364">
        <f t="shared" si="5"/>
        <v>1</v>
      </c>
    </row>
    <row r="365" spans="10:24" x14ac:dyDescent="0.3">
      <c r="J365">
        <v>364</v>
      </c>
      <c r="K365">
        <v>4</v>
      </c>
      <c r="L365">
        <v>3</v>
      </c>
      <c r="M365" t="s">
        <v>43</v>
      </c>
      <c r="N365" t="s">
        <v>38</v>
      </c>
      <c r="O365">
        <v>91.9</v>
      </c>
      <c r="P365">
        <v>111.7</v>
      </c>
      <c r="Q365">
        <v>770.3</v>
      </c>
      <c r="R365">
        <v>6.5</v>
      </c>
      <c r="S365">
        <v>15.9</v>
      </c>
      <c r="T365">
        <v>53</v>
      </c>
      <c r="U365">
        <v>2.2000000000000002</v>
      </c>
      <c r="V365">
        <v>0</v>
      </c>
      <c r="W365">
        <v>2.93</v>
      </c>
      <c r="X365">
        <f t="shared" si="5"/>
        <v>1</v>
      </c>
    </row>
    <row r="366" spans="10:24" x14ac:dyDescent="0.3">
      <c r="J366">
        <v>365</v>
      </c>
      <c r="K366">
        <v>6</v>
      </c>
      <c r="L366">
        <v>5</v>
      </c>
      <c r="M366" t="s">
        <v>43</v>
      </c>
      <c r="N366" t="s">
        <v>38</v>
      </c>
      <c r="O366">
        <v>91.9</v>
      </c>
      <c r="P366">
        <v>111.7</v>
      </c>
      <c r="Q366">
        <v>770.3</v>
      </c>
      <c r="R366">
        <v>6.5</v>
      </c>
      <c r="S366">
        <v>21.1</v>
      </c>
      <c r="T366">
        <v>35</v>
      </c>
      <c r="U366">
        <v>2.7</v>
      </c>
      <c r="V366">
        <v>0</v>
      </c>
      <c r="W366">
        <v>5.65</v>
      </c>
      <c r="X366">
        <f t="shared" si="5"/>
        <v>1</v>
      </c>
    </row>
    <row r="367" spans="10:24" x14ac:dyDescent="0.3">
      <c r="J367">
        <v>366</v>
      </c>
      <c r="K367">
        <v>6</v>
      </c>
      <c r="L367">
        <v>5</v>
      </c>
      <c r="M367" t="s">
        <v>43</v>
      </c>
      <c r="N367" t="s">
        <v>38</v>
      </c>
      <c r="O367">
        <v>91.9</v>
      </c>
      <c r="P367">
        <v>111.7</v>
      </c>
      <c r="Q367">
        <v>770.3</v>
      </c>
      <c r="R367">
        <v>6.5</v>
      </c>
      <c r="S367">
        <v>19.600000000000001</v>
      </c>
      <c r="T367">
        <v>45</v>
      </c>
      <c r="U367">
        <v>3.1</v>
      </c>
      <c r="V367">
        <v>0</v>
      </c>
      <c r="W367">
        <v>20.03</v>
      </c>
      <c r="X367">
        <f t="shared" si="5"/>
        <v>1</v>
      </c>
    </row>
    <row r="368" spans="10:24" x14ac:dyDescent="0.3">
      <c r="J368">
        <v>367</v>
      </c>
      <c r="K368">
        <v>4</v>
      </c>
      <c r="L368">
        <v>5</v>
      </c>
      <c r="M368" t="s">
        <v>43</v>
      </c>
      <c r="N368" t="s">
        <v>38</v>
      </c>
      <c r="O368">
        <v>91.1</v>
      </c>
      <c r="P368">
        <v>132.30000000000001</v>
      </c>
      <c r="Q368">
        <v>812.1</v>
      </c>
      <c r="R368">
        <v>12.5</v>
      </c>
      <c r="S368">
        <v>15.9</v>
      </c>
      <c r="T368">
        <v>38</v>
      </c>
      <c r="U368">
        <v>5.4</v>
      </c>
      <c r="V368">
        <v>0</v>
      </c>
      <c r="W368">
        <v>1.75</v>
      </c>
      <c r="X368">
        <f t="shared" si="5"/>
        <v>1</v>
      </c>
    </row>
    <row r="369" spans="10:24" x14ac:dyDescent="0.3">
      <c r="J369">
        <v>368</v>
      </c>
      <c r="K369">
        <v>4</v>
      </c>
      <c r="L369">
        <v>5</v>
      </c>
      <c r="M369" t="s">
        <v>43</v>
      </c>
      <c r="N369" t="s">
        <v>38</v>
      </c>
      <c r="O369">
        <v>91.1</v>
      </c>
      <c r="P369">
        <v>132.30000000000001</v>
      </c>
      <c r="Q369">
        <v>812.1</v>
      </c>
      <c r="R369">
        <v>12.5</v>
      </c>
      <c r="S369">
        <v>16.399999999999999</v>
      </c>
      <c r="T369">
        <v>27</v>
      </c>
      <c r="U369">
        <v>3.6</v>
      </c>
      <c r="V369">
        <v>0</v>
      </c>
      <c r="W369">
        <v>0</v>
      </c>
      <c r="X369">
        <f t="shared" si="5"/>
        <v>0</v>
      </c>
    </row>
    <row r="370" spans="10:24" x14ac:dyDescent="0.3">
      <c r="J370">
        <v>369</v>
      </c>
      <c r="K370">
        <v>6</v>
      </c>
      <c r="L370">
        <v>5</v>
      </c>
      <c r="M370" t="s">
        <v>43</v>
      </c>
      <c r="N370" t="s">
        <v>39</v>
      </c>
      <c r="O370">
        <v>91.2</v>
      </c>
      <c r="P370">
        <v>94.3</v>
      </c>
      <c r="Q370">
        <v>744.4</v>
      </c>
      <c r="R370">
        <v>8.4</v>
      </c>
      <c r="S370">
        <v>16.8</v>
      </c>
      <c r="T370">
        <v>47</v>
      </c>
      <c r="U370">
        <v>4.9000000000000004</v>
      </c>
      <c r="V370">
        <v>0</v>
      </c>
      <c r="W370">
        <v>12.64</v>
      </c>
      <c r="X370">
        <f t="shared" si="5"/>
        <v>1</v>
      </c>
    </row>
    <row r="371" spans="10:24" x14ac:dyDescent="0.3">
      <c r="J371">
        <v>370</v>
      </c>
      <c r="K371">
        <v>4</v>
      </c>
      <c r="L371">
        <v>5</v>
      </c>
      <c r="M371" t="s">
        <v>43</v>
      </c>
      <c r="N371" t="s">
        <v>40</v>
      </c>
      <c r="O371">
        <v>91</v>
      </c>
      <c r="P371">
        <v>276.3</v>
      </c>
      <c r="Q371">
        <v>825.1</v>
      </c>
      <c r="R371">
        <v>7.1</v>
      </c>
      <c r="S371">
        <v>13.8</v>
      </c>
      <c r="T371">
        <v>77</v>
      </c>
      <c r="U371">
        <v>7.6</v>
      </c>
      <c r="V371">
        <v>0</v>
      </c>
      <c r="W371">
        <v>0</v>
      </c>
      <c r="X371">
        <f t="shared" si="5"/>
        <v>0</v>
      </c>
    </row>
    <row r="372" spans="10:24" x14ac:dyDescent="0.3">
      <c r="J372">
        <v>371</v>
      </c>
      <c r="K372">
        <v>7</v>
      </c>
      <c r="L372">
        <v>4</v>
      </c>
      <c r="M372" t="s">
        <v>43</v>
      </c>
      <c r="N372" t="s">
        <v>40</v>
      </c>
      <c r="O372">
        <v>91</v>
      </c>
      <c r="P372">
        <v>276.3</v>
      </c>
      <c r="Q372">
        <v>825.1</v>
      </c>
      <c r="R372">
        <v>7.1</v>
      </c>
      <c r="S372">
        <v>13.8</v>
      </c>
      <c r="T372">
        <v>77</v>
      </c>
      <c r="U372">
        <v>7.6</v>
      </c>
      <c r="V372">
        <v>0</v>
      </c>
      <c r="W372">
        <v>11.06</v>
      </c>
      <c r="X372">
        <f t="shared" si="5"/>
        <v>1</v>
      </c>
    </row>
    <row r="373" spans="10:24" x14ac:dyDescent="0.3">
      <c r="J373">
        <v>372</v>
      </c>
      <c r="K373">
        <v>3</v>
      </c>
      <c r="L373">
        <v>4</v>
      </c>
      <c r="M373" t="s">
        <v>47</v>
      </c>
      <c r="N373" t="s">
        <v>44</v>
      </c>
      <c r="O373">
        <v>91.9</v>
      </c>
      <c r="P373">
        <v>133.6</v>
      </c>
      <c r="Q373">
        <v>520.5</v>
      </c>
      <c r="R373">
        <v>8</v>
      </c>
      <c r="S373">
        <v>14.2</v>
      </c>
      <c r="T373">
        <v>58</v>
      </c>
      <c r="U373">
        <v>4</v>
      </c>
      <c r="V373">
        <v>0</v>
      </c>
      <c r="W373">
        <v>0</v>
      </c>
      <c r="X373">
        <f t="shared" si="5"/>
        <v>0</v>
      </c>
    </row>
    <row r="374" spans="10:24" x14ac:dyDescent="0.3">
      <c r="J374">
        <v>373</v>
      </c>
      <c r="K374">
        <v>4</v>
      </c>
      <c r="L374">
        <v>5</v>
      </c>
      <c r="M374" t="s">
        <v>41</v>
      </c>
      <c r="N374" t="s">
        <v>40</v>
      </c>
      <c r="O374">
        <v>92</v>
      </c>
      <c r="P374">
        <v>203.2</v>
      </c>
      <c r="Q374">
        <v>664.5</v>
      </c>
      <c r="R374">
        <v>8.1</v>
      </c>
      <c r="S374">
        <v>10.4</v>
      </c>
      <c r="T374">
        <v>75</v>
      </c>
      <c r="U374">
        <v>0.9</v>
      </c>
      <c r="V374">
        <v>0</v>
      </c>
      <c r="W374">
        <v>0</v>
      </c>
      <c r="X374">
        <f t="shared" si="5"/>
        <v>0</v>
      </c>
    </row>
    <row r="375" spans="10:24" x14ac:dyDescent="0.3">
      <c r="J375">
        <v>374</v>
      </c>
      <c r="K375">
        <v>5</v>
      </c>
      <c r="L375">
        <v>4</v>
      </c>
      <c r="M375" t="s">
        <v>41</v>
      </c>
      <c r="N375" t="s">
        <v>48</v>
      </c>
      <c r="O375">
        <v>94.8</v>
      </c>
      <c r="P375">
        <v>222.4</v>
      </c>
      <c r="Q375">
        <v>698.6</v>
      </c>
      <c r="R375">
        <v>13.9</v>
      </c>
      <c r="S375">
        <v>20.3</v>
      </c>
      <c r="T375">
        <v>42</v>
      </c>
      <c r="U375">
        <v>2.7</v>
      </c>
      <c r="V375">
        <v>0</v>
      </c>
      <c r="W375">
        <v>0</v>
      </c>
      <c r="X375">
        <f t="shared" si="5"/>
        <v>0</v>
      </c>
    </row>
    <row r="376" spans="10:24" x14ac:dyDescent="0.3">
      <c r="J376">
        <v>375</v>
      </c>
      <c r="K376">
        <v>6</v>
      </c>
      <c r="L376">
        <v>5</v>
      </c>
      <c r="M376" t="s">
        <v>43</v>
      </c>
      <c r="N376" t="s">
        <v>36</v>
      </c>
      <c r="O376">
        <v>90.3</v>
      </c>
      <c r="P376">
        <v>290</v>
      </c>
      <c r="Q376">
        <v>855.3</v>
      </c>
      <c r="R376">
        <v>7.4</v>
      </c>
      <c r="S376">
        <v>10.3</v>
      </c>
      <c r="T376">
        <v>78</v>
      </c>
      <c r="U376">
        <v>4</v>
      </c>
      <c r="V376">
        <v>0</v>
      </c>
      <c r="W376">
        <v>18.3</v>
      </c>
      <c r="X376">
        <f t="shared" si="5"/>
        <v>1</v>
      </c>
    </row>
    <row r="377" spans="10:24" x14ac:dyDescent="0.3">
      <c r="J377">
        <v>376</v>
      </c>
      <c r="K377">
        <v>6</v>
      </c>
      <c r="L377">
        <v>5</v>
      </c>
      <c r="M377" t="s">
        <v>43</v>
      </c>
      <c r="N377" t="s">
        <v>39</v>
      </c>
      <c r="O377">
        <v>91.2</v>
      </c>
      <c r="P377">
        <v>94.3</v>
      </c>
      <c r="Q377">
        <v>744.4</v>
      </c>
      <c r="R377">
        <v>8.4</v>
      </c>
      <c r="S377">
        <v>15.4</v>
      </c>
      <c r="T377">
        <v>57</v>
      </c>
      <c r="U377">
        <v>4.9000000000000004</v>
      </c>
      <c r="V377">
        <v>0</v>
      </c>
      <c r="W377">
        <v>39.35</v>
      </c>
      <c r="X377">
        <f t="shared" si="5"/>
        <v>1</v>
      </c>
    </row>
    <row r="378" spans="10:24" x14ac:dyDescent="0.3">
      <c r="J378">
        <v>377</v>
      </c>
      <c r="K378">
        <v>8</v>
      </c>
      <c r="L378">
        <v>6</v>
      </c>
      <c r="M378" t="s">
        <v>41</v>
      </c>
      <c r="N378" t="s">
        <v>42</v>
      </c>
      <c r="O378">
        <v>92.1</v>
      </c>
      <c r="P378">
        <v>207</v>
      </c>
      <c r="Q378">
        <v>672.6</v>
      </c>
      <c r="R378">
        <v>8.1999999999999993</v>
      </c>
      <c r="S378">
        <v>21.1</v>
      </c>
      <c r="T378">
        <v>54</v>
      </c>
      <c r="U378">
        <v>2.2000000000000002</v>
      </c>
      <c r="V378">
        <v>0</v>
      </c>
      <c r="W378">
        <v>0</v>
      </c>
      <c r="X378">
        <f t="shared" si="5"/>
        <v>0</v>
      </c>
    </row>
    <row r="379" spans="10:24" x14ac:dyDescent="0.3">
      <c r="J379">
        <v>378</v>
      </c>
      <c r="K379">
        <v>2</v>
      </c>
      <c r="L379">
        <v>2</v>
      </c>
      <c r="M379" t="s">
        <v>41</v>
      </c>
      <c r="N379" t="s">
        <v>39</v>
      </c>
      <c r="O379">
        <v>93.7</v>
      </c>
      <c r="P379">
        <v>231.1</v>
      </c>
      <c r="Q379">
        <v>715.1</v>
      </c>
      <c r="R379">
        <v>8.4</v>
      </c>
      <c r="S379">
        <v>21.9</v>
      </c>
      <c r="T379">
        <v>42</v>
      </c>
      <c r="U379">
        <v>2.2000000000000002</v>
      </c>
      <c r="V379">
        <v>0</v>
      </c>
      <c r="W379">
        <v>174.63</v>
      </c>
      <c r="X379">
        <f t="shared" si="5"/>
        <v>1</v>
      </c>
    </row>
    <row r="380" spans="10:24" x14ac:dyDescent="0.3">
      <c r="J380">
        <v>379</v>
      </c>
      <c r="K380">
        <v>6</v>
      </c>
      <c r="L380">
        <v>5</v>
      </c>
      <c r="M380" t="s">
        <v>35</v>
      </c>
      <c r="N380" t="s">
        <v>48</v>
      </c>
      <c r="O380">
        <v>90.9</v>
      </c>
      <c r="P380">
        <v>18.899999999999999</v>
      </c>
      <c r="Q380">
        <v>30.6</v>
      </c>
      <c r="R380">
        <v>8</v>
      </c>
      <c r="S380">
        <v>8.6999999999999993</v>
      </c>
      <c r="T380">
        <v>51</v>
      </c>
      <c r="U380">
        <v>5.8</v>
      </c>
      <c r="V380">
        <v>0</v>
      </c>
      <c r="W380">
        <v>0</v>
      </c>
      <c r="X380">
        <f t="shared" si="5"/>
        <v>0</v>
      </c>
    </row>
    <row r="381" spans="10:24" x14ac:dyDescent="0.3">
      <c r="J381">
        <v>380</v>
      </c>
      <c r="K381">
        <v>4</v>
      </c>
      <c r="L381">
        <v>5</v>
      </c>
      <c r="M381" t="s">
        <v>50</v>
      </c>
      <c r="N381" t="s">
        <v>40</v>
      </c>
      <c r="O381">
        <v>18.7</v>
      </c>
      <c r="P381">
        <v>1.1000000000000001</v>
      </c>
      <c r="Q381">
        <v>171.4</v>
      </c>
      <c r="R381">
        <v>0</v>
      </c>
      <c r="S381">
        <v>5.2</v>
      </c>
      <c r="T381">
        <v>100</v>
      </c>
      <c r="U381">
        <v>0.9</v>
      </c>
      <c r="V381">
        <v>0</v>
      </c>
      <c r="W381">
        <v>0</v>
      </c>
      <c r="X381">
        <f t="shared" si="5"/>
        <v>0</v>
      </c>
    </row>
    <row r="382" spans="10:24" x14ac:dyDescent="0.3">
      <c r="J382">
        <v>381</v>
      </c>
      <c r="K382">
        <v>5</v>
      </c>
      <c r="L382">
        <v>4</v>
      </c>
      <c r="M382" t="s">
        <v>47</v>
      </c>
      <c r="N382" t="s">
        <v>44</v>
      </c>
      <c r="O382">
        <v>93.7</v>
      </c>
      <c r="P382">
        <v>101.3</v>
      </c>
      <c r="Q382">
        <v>458.8</v>
      </c>
      <c r="R382">
        <v>11.9</v>
      </c>
      <c r="S382">
        <v>19.3</v>
      </c>
      <c r="T382">
        <v>39</v>
      </c>
      <c r="U382">
        <v>7.2</v>
      </c>
      <c r="V382">
        <v>0</v>
      </c>
      <c r="W382">
        <v>7.73</v>
      </c>
      <c r="X382">
        <f t="shared" si="5"/>
        <v>1</v>
      </c>
    </row>
    <row r="383" spans="10:24" x14ac:dyDescent="0.3">
      <c r="J383">
        <v>382</v>
      </c>
      <c r="K383">
        <v>8</v>
      </c>
      <c r="L383">
        <v>6</v>
      </c>
      <c r="M383" t="s">
        <v>41</v>
      </c>
      <c r="N383" t="s">
        <v>48</v>
      </c>
      <c r="O383">
        <v>90.7</v>
      </c>
      <c r="P383">
        <v>194.1</v>
      </c>
      <c r="Q383">
        <v>643</v>
      </c>
      <c r="R383">
        <v>6.8</v>
      </c>
      <c r="S383">
        <v>16.2</v>
      </c>
      <c r="T383">
        <v>63</v>
      </c>
      <c r="U383">
        <v>2.7</v>
      </c>
      <c r="V383">
        <v>0</v>
      </c>
      <c r="W383">
        <v>16.329999999999998</v>
      </c>
      <c r="X383">
        <f t="shared" si="5"/>
        <v>1</v>
      </c>
    </row>
    <row r="384" spans="10:24" x14ac:dyDescent="0.3">
      <c r="J384">
        <v>383</v>
      </c>
      <c r="K384">
        <v>8</v>
      </c>
      <c r="L384">
        <v>6</v>
      </c>
      <c r="M384" t="s">
        <v>41</v>
      </c>
      <c r="N384" t="s">
        <v>44</v>
      </c>
      <c r="O384">
        <v>95.2</v>
      </c>
      <c r="P384">
        <v>217.7</v>
      </c>
      <c r="Q384">
        <v>690</v>
      </c>
      <c r="R384">
        <v>18</v>
      </c>
      <c r="S384">
        <v>28.2</v>
      </c>
      <c r="T384">
        <v>29</v>
      </c>
      <c r="U384">
        <v>1.8</v>
      </c>
      <c r="V384">
        <v>0</v>
      </c>
      <c r="W384">
        <v>5.86</v>
      </c>
      <c r="X384">
        <f t="shared" si="5"/>
        <v>1</v>
      </c>
    </row>
    <row r="385" spans="10:24" x14ac:dyDescent="0.3">
      <c r="J385">
        <v>384</v>
      </c>
      <c r="K385">
        <v>9</v>
      </c>
      <c r="L385">
        <v>6</v>
      </c>
      <c r="M385" t="s">
        <v>41</v>
      </c>
      <c r="N385" t="s">
        <v>48</v>
      </c>
      <c r="O385">
        <v>91.6</v>
      </c>
      <c r="P385">
        <v>248.4</v>
      </c>
      <c r="Q385">
        <v>753.8</v>
      </c>
      <c r="R385">
        <v>6.3</v>
      </c>
      <c r="S385">
        <v>20.5</v>
      </c>
      <c r="T385">
        <v>58</v>
      </c>
      <c r="U385">
        <v>2.7</v>
      </c>
      <c r="V385">
        <v>0</v>
      </c>
      <c r="W385">
        <v>42.87</v>
      </c>
      <c r="X385">
        <f t="shared" si="5"/>
        <v>1</v>
      </c>
    </row>
    <row r="386" spans="10:24" x14ac:dyDescent="0.3">
      <c r="J386">
        <v>385</v>
      </c>
      <c r="K386">
        <v>8</v>
      </c>
      <c r="L386">
        <v>4</v>
      </c>
      <c r="M386" t="s">
        <v>41</v>
      </c>
      <c r="N386" t="s">
        <v>39</v>
      </c>
      <c r="O386">
        <v>91.6</v>
      </c>
      <c r="P386">
        <v>273.8</v>
      </c>
      <c r="Q386">
        <v>819.1</v>
      </c>
      <c r="R386">
        <v>7.7</v>
      </c>
      <c r="S386">
        <v>21.3</v>
      </c>
      <c r="T386">
        <v>44</v>
      </c>
      <c r="U386">
        <v>4.5</v>
      </c>
      <c r="V386">
        <v>0</v>
      </c>
      <c r="W386">
        <v>12.18</v>
      </c>
      <c r="X386">
        <f t="shared" si="5"/>
        <v>1</v>
      </c>
    </row>
    <row r="387" spans="10:24" x14ac:dyDescent="0.3">
      <c r="J387">
        <v>386</v>
      </c>
      <c r="K387">
        <v>2</v>
      </c>
      <c r="L387">
        <v>4</v>
      </c>
      <c r="M387" t="s">
        <v>41</v>
      </c>
      <c r="N387" t="s">
        <v>40</v>
      </c>
      <c r="O387">
        <v>91.6</v>
      </c>
      <c r="P387">
        <v>181.3</v>
      </c>
      <c r="Q387">
        <v>613</v>
      </c>
      <c r="R387">
        <v>7.6</v>
      </c>
      <c r="S387">
        <v>20.9</v>
      </c>
      <c r="T387">
        <v>50</v>
      </c>
      <c r="U387">
        <v>2.2000000000000002</v>
      </c>
      <c r="V387">
        <v>0</v>
      </c>
      <c r="W387">
        <v>16</v>
      </c>
      <c r="X387">
        <f t="shared" ref="X387:X450" si="6">IF(W387&gt;0,1,0)</f>
        <v>1</v>
      </c>
    </row>
    <row r="388" spans="10:24" x14ac:dyDescent="0.3">
      <c r="J388">
        <v>387</v>
      </c>
      <c r="K388">
        <v>3</v>
      </c>
      <c r="L388">
        <v>4</v>
      </c>
      <c r="M388" t="s">
        <v>43</v>
      </c>
      <c r="N388" t="s">
        <v>40</v>
      </c>
      <c r="O388">
        <v>90.5</v>
      </c>
      <c r="P388">
        <v>96.7</v>
      </c>
      <c r="Q388">
        <v>750.5</v>
      </c>
      <c r="R388">
        <v>11.4</v>
      </c>
      <c r="S388">
        <v>20.6</v>
      </c>
      <c r="T388">
        <v>55</v>
      </c>
      <c r="U388">
        <v>5.4</v>
      </c>
      <c r="V388">
        <v>0</v>
      </c>
      <c r="W388">
        <v>24.59</v>
      </c>
      <c r="X388">
        <f t="shared" si="6"/>
        <v>1</v>
      </c>
    </row>
    <row r="389" spans="10:24" x14ac:dyDescent="0.3">
      <c r="J389">
        <v>388</v>
      </c>
      <c r="K389">
        <v>5</v>
      </c>
      <c r="L389">
        <v>5</v>
      </c>
      <c r="M389" t="s">
        <v>35</v>
      </c>
      <c r="N389" t="s">
        <v>48</v>
      </c>
      <c r="O389">
        <v>90.9</v>
      </c>
      <c r="P389">
        <v>18.899999999999999</v>
      </c>
      <c r="Q389">
        <v>30.6</v>
      </c>
      <c r="R389">
        <v>8</v>
      </c>
      <c r="S389">
        <v>11.6</v>
      </c>
      <c r="T389">
        <v>48</v>
      </c>
      <c r="U389">
        <v>5.4</v>
      </c>
      <c r="V389">
        <v>0</v>
      </c>
      <c r="W389">
        <v>0</v>
      </c>
      <c r="X389">
        <f t="shared" si="6"/>
        <v>0</v>
      </c>
    </row>
    <row r="390" spans="10:24" x14ac:dyDescent="0.3">
      <c r="J390">
        <v>389</v>
      </c>
      <c r="K390">
        <v>6</v>
      </c>
      <c r="L390">
        <v>4</v>
      </c>
      <c r="M390" t="s">
        <v>41</v>
      </c>
      <c r="N390" t="s">
        <v>36</v>
      </c>
      <c r="O390">
        <v>94.8</v>
      </c>
      <c r="P390">
        <v>227</v>
      </c>
      <c r="Q390">
        <v>706.7</v>
      </c>
      <c r="R390">
        <v>12</v>
      </c>
      <c r="S390">
        <v>23.3</v>
      </c>
      <c r="T390">
        <v>34</v>
      </c>
      <c r="U390">
        <v>3.1</v>
      </c>
      <c r="V390">
        <v>0</v>
      </c>
      <c r="W390">
        <v>28.74</v>
      </c>
      <c r="X390">
        <f t="shared" si="6"/>
        <v>1</v>
      </c>
    </row>
    <row r="391" spans="10:24" x14ac:dyDescent="0.3">
      <c r="J391">
        <v>390</v>
      </c>
      <c r="K391">
        <v>7</v>
      </c>
      <c r="L391">
        <v>4</v>
      </c>
      <c r="M391" t="s">
        <v>41</v>
      </c>
      <c r="N391" t="s">
        <v>36</v>
      </c>
      <c r="O391">
        <v>94.8</v>
      </c>
      <c r="P391">
        <v>227</v>
      </c>
      <c r="Q391">
        <v>706.7</v>
      </c>
      <c r="R391">
        <v>12</v>
      </c>
      <c r="S391">
        <v>23.3</v>
      </c>
      <c r="T391">
        <v>34</v>
      </c>
      <c r="U391">
        <v>3.1</v>
      </c>
      <c r="V391">
        <v>0</v>
      </c>
      <c r="W391">
        <v>0</v>
      </c>
      <c r="X391">
        <f t="shared" si="6"/>
        <v>0</v>
      </c>
    </row>
    <row r="392" spans="10:24" x14ac:dyDescent="0.3">
      <c r="J392">
        <v>391</v>
      </c>
      <c r="K392">
        <v>7</v>
      </c>
      <c r="L392">
        <v>4</v>
      </c>
      <c r="M392" t="s">
        <v>49</v>
      </c>
      <c r="N392" t="s">
        <v>42</v>
      </c>
      <c r="O392">
        <v>84.7</v>
      </c>
      <c r="P392">
        <v>9.5</v>
      </c>
      <c r="Q392">
        <v>58.3</v>
      </c>
      <c r="R392">
        <v>4.0999999999999996</v>
      </c>
      <c r="S392">
        <v>7.5</v>
      </c>
      <c r="T392">
        <v>71</v>
      </c>
      <c r="U392">
        <v>6.3</v>
      </c>
      <c r="V392">
        <v>0</v>
      </c>
      <c r="W392">
        <v>9.9600000000000009</v>
      </c>
      <c r="X392">
        <f t="shared" si="6"/>
        <v>1</v>
      </c>
    </row>
    <row r="393" spans="10:24" x14ac:dyDescent="0.3">
      <c r="J393">
        <v>392</v>
      </c>
      <c r="K393">
        <v>8</v>
      </c>
      <c r="L393">
        <v>6</v>
      </c>
      <c r="M393" t="s">
        <v>43</v>
      </c>
      <c r="N393" t="s">
        <v>36</v>
      </c>
      <c r="O393">
        <v>91.1</v>
      </c>
      <c r="P393">
        <v>91.3</v>
      </c>
      <c r="Q393">
        <v>738.1</v>
      </c>
      <c r="R393">
        <v>7.2</v>
      </c>
      <c r="S393">
        <v>20.7</v>
      </c>
      <c r="T393">
        <v>46</v>
      </c>
      <c r="U393">
        <v>2.7</v>
      </c>
      <c r="V393">
        <v>0</v>
      </c>
      <c r="W393">
        <v>30.18</v>
      </c>
      <c r="X393">
        <f t="shared" si="6"/>
        <v>1</v>
      </c>
    </row>
    <row r="394" spans="10:24" x14ac:dyDescent="0.3">
      <c r="J394">
        <v>393</v>
      </c>
      <c r="K394">
        <v>1</v>
      </c>
      <c r="L394">
        <v>3</v>
      </c>
      <c r="M394" t="s">
        <v>43</v>
      </c>
      <c r="N394" t="s">
        <v>40</v>
      </c>
      <c r="O394">
        <v>91</v>
      </c>
      <c r="P394">
        <v>276.3</v>
      </c>
      <c r="Q394">
        <v>825.1</v>
      </c>
      <c r="R394">
        <v>7.1</v>
      </c>
      <c r="S394">
        <v>21.9</v>
      </c>
      <c r="T394">
        <v>43</v>
      </c>
      <c r="U394">
        <v>4</v>
      </c>
      <c r="V394">
        <v>0</v>
      </c>
      <c r="W394">
        <v>70.760000000000005</v>
      </c>
      <c r="X394">
        <f t="shared" si="6"/>
        <v>1</v>
      </c>
    </row>
    <row r="395" spans="10:24" x14ac:dyDescent="0.3">
      <c r="J395">
        <v>394</v>
      </c>
      <c r="K395">
        <v>2</v>
      </c>
      <c r="L395">
        <v>4</v>
      </c>
      <c r="M395" t="s">
        <v>35</v>
      </c>
      <c r="N395" t="s">
        <v>38</v>
      </c>
      <c r="O395">
        <v>93.4</v>
      </c>
      <c r="P395">
        <v>15</v>
      </c>
      <c r="Q395">
        <v>25.6</v>
      </c>
      <c r="R395">
        <v>11.4</v>
      </c>
      <c r="S395">
        <v>15.2</v>
      </c>
      <c r="T395">
        <v>19</v>
      </c>
      <c r="U395">
        <v>7.6</v>
      </c>
      <c r="V395">
        <v>0</v>
      </c>
      <c r="W395">
        <v>0</v>
      </c>
      <c r="X395">
        <f t="shared" si="6"/>
        <v>0</v>
      </c>
    </row>
    <row r="396" spans="10:24" x14ac:dyDescent="0.3">
      <c r="J396">
        <v>395</v>
      </c>
      <c r="K396">
        <v>6</v>
      </c>
      <c r="L396">
        <v>5</v>
      </c>
      <c r="M396" t="s">
        <v>49</v>
      </c>
      <c r="N396" t="s">
        <v>42</v>
      </c>
      <c r="O396">
        <v>84.1</v>
      </c>
      <c r="P396">
        <v>4.5999999999999996</v>
      </c>
      <c r="Q396">
        <v>46.7</v>
      </c>
      <c r="R396">
        <v>2.2000000000000002</v>
      </c>
      <c r="S396">
        <v>5.3</v>
      </c>
      <c r="T396">
        <v>68</v>
      </c>
      <c r="U396">
        <v>1.8</v>
      </c>
      <c r="V396">
        <v>0</v>
      </c>
      <c r="W396">
        <v>0</v>
      </c>
      <c r="X396">
        <f t="shared" si="6"/>
        <v>0</v>
      </c>
    </row>
    <row r="397" spans="10:24" x14ac:dyDescent="0.3">
      <c r="J397">
        <v>396</v>
      </c>
      <c r="K397">
        <v>4</v>
      </c>
      <c r="L397">
        <v>5</v>
      </c>
      <c r="M397" t="s">
        <v>49</v>
      </c>
      <c r="N397" t="s">
        <v>40</v>
      </c>
      <c r="O397">
        <v>85</v>
      </c>
      <c r="P397">
        <v>9</v>
      </c>
      <c r="Q397">
        <v>56.9</v>
      </c>
      <c r="R397">
        <v>3.5</v>
      </c>
      <c r="S397">
        <v>10.1</v>
      </c>
      <c r="T397">
        <v>62</v>
      </c>
      <c r="U397">
        <v>1.8</v>
      </c>
      <c r="V397">
        <v>0</v>
      </c>
      <c r="W397">
        <v>51.78</v>
      </c>
      <c r="X397">
        <f t="shared" si="6"/>
        <v>1</v>
      </c>
    </row>
    <row r="398" spans="10:24" x14ac:dyDescent="0.3">
      <c r="J398">
        <v>397</v>
      </c>
      <c r="K398">
        <v>4</v>
      </c>
      <c r="L398">
        <v>3</v>
      </c>
      <c r="M398" t="s">
        <v>43</v>
      </c>
      <c r="N398" t="s">
        <v>40</v>
      </c>
      <c r="O398">
        <v>90.5</v>
      </c>
      <c r="P398">
        <v>96.7</v>
      </c>
      <c r="Q398">
        <v>750.5</v>
      </c>
      <c r="R398">
        <v>11.4</v>
      </c>
      <c r="S398">
        <v>20.399999999999999</v>
      </c>
      <c r="T398">
        <v>55</v>
      </c>
      <c r="U398">
        <v>4.9000000000000004</v>
      </c>
      <c r="V398">
        <v>0</v>
      </c>
      <c r="W398">
        <v>3.64</v>
      </c>
      <c r="X398">
        <f t="shared" si="6"/>
        <v>1</v>
      </c>
    </row>
    <row r="399" spans="10:24" x14ac:dyDescent="0.3">
      <c r="J399">
        <v>398</v>
      </c>
      <c r="K399">
        <v>5</v>
      </c>
      <c r="L399">
        <v>6</v>
      </c>
      <c r="M399" t="s">
        <v>41</v>
      </c>
      <c r="N399" t="s">
        <v>40</v>
      </c>
      <c r="O399">
        <v>91.6</v>
      </c>
      <c r="P399">
        <v>181.3</v>
      </c>
      <c r="Q399">
        <v>613</v>
      </c>
      <c r="R399">
        <v>7.6</v>
      </c>
      <c r="S399">
        <v>24.3</v>
      </c>
      <c r="T399">
        <v>33</v>
      </c>
      <c r="U399">
        <v>3.6</v>
      </c>
      <c r="V399">
        <v>0</v>
      </c>
      <c r="W399">
        <v>3.63</v>
      </c>
      <c r="X399">
        <f t="shared" si="6"/>
        <v>1</v>
      </c>
    </row>
    <row r="400" spans="10:24" x14ac:dyDescent="0.3">
      <c r="J400">
        <v>399</v>
      </c>
      <c r="K400">
        <v>1</v>
      </c>
      <c r="L400">
        <v>2</v>
      </c>
      <c r="M400" t="s">
        <v>41</v>
      </c>
      <c r="N400" t="s">
        <v>39</v>
      </c>
      <c r="O400">
        <v>93.7</v>
      </c>
      <c r="P400">
        <v>231.1</v>
      </c>
      <c r="Q400">
        <v>715.1</v>
      </c>
      <c r="R400">
        <v>8.4</v>
      </c>
      <c r="S400">
        <v>25.9</v>
      </c>
      <c r="T400">
        <v>32</v>
      </c>
      <c r="U400">
        <v>3.1</v>
      </c>
      <c r="V400">
        <v>0</v>
      </c>
      <c r="W400">
        <v>0</v>
      </c>
      <c r="X400">
        <f t="shared" si="6"/>
        <v>0</v>
      </c>
    </row>
    <row r="401" spans="10:24" x14ac:dyDescent="0.3">
      <c r="J401">
        <v>400</v>
      </c>
      <c r="K401">
        <v>9</v>
      </c>
      <c r="L401">
        <v>5</v>
      </c>
      <c r="M401" t="s">
        <v>46</v>
      </c>
      <c r="N401" t="s">
        <v>44</v>
      </c>
      <c r="O401">
        <v>93.3</v>
      </c>
      <c r="P401">
        <v>49.5</v>
      </c>
      <c r="Q401">
        <v>297.7</v>
      </c>
      <c r="R401">
        <v>14</v>
      </c>
      <c r="S401">
        <v>28</v>
      </c>
      <c r="T401">
        <v>34</v>
      </c>
      <c r="U401">
        <v>4.5</v>
      </c>
      <c r="V401">
        <v>0</v>
      </c>
      <c r="W401">
        <v>0</v>
      </c>
      <c r="X401">
        <f t="shared" si="6"/>
        <v>0</v>
      </c>
    </row>
    <row r="402" spans="10:24" x14ac:dyDescent="0.3">
      <c r="J402">
        <v>401</v>
      </c>
      <c r="K402">
        <v>9</v>
      </c>
      <c r="L402">
        <v>5</v>
      </c>
      <c r="M402" t="s">
        <v>46</v>
      </c>
      <c r="N402" t="s">
        <v>44</v>
      </c>
      <c r="O402">
        <v>93.3</v>
      </c>
      <c r="P402">
        <v>49.5</v>
      </c>
      <c r="Q402">
        <v>297.7</v>
      </c>
      <c r="R402">
        <v>14</v>
      </c>
      <c r="S402">
        <v>28</v>
      </c>
      <c r="T402">
        <v>34</v>
      </c>
      <c r="U402">
        <v>4.5</v>
      </c>
      <c r="V402">
        <v>0</v>
      </c>
      <c r="W402">
        <v>8.16</v>
      </c>
      <c r="X402">
        <f t="shared" si="6"/>
        <v>1</v>
      </c>
    </row>
    <row r="403" spans="10:24" x14ac:dyDescent="0.3">
      <c r="J403">
        <v>402</v>
      </c>
      <c r="K403">
        <v>3</v>
      </c>
      <c r="L403">
        <v>4</v>
      </c>
      <c r="M403" t="s">
        <v>43</v>
      </c>
      <c r="N403" t="s">
        <v>48</v>
      </c>
      <c r="O403">
        <v>91.1</v>
      </c>
      <c r="P403">
        <v>88.2</v>
      </c>
      <c r="Q403">
        <v>731.7</v>
      </c>
      <c r="R403">
        <v>8.3000000000000007</v>
      </c>
      <c r="S403">
        <v>22.8</v>
      </c>
      <c r="T403">
        <v>46</v>
      </c>
      <c r="U403">
        <v>4</v>
      </c>
      <c r="V403">
        <v>0</v>
      </c>
      <c r="W403">
        <v>4.95</v>
      </c>
      <c r="X403">
        <f t="shared" si="6"/>
        <v>1</v>
      </c>
    </row>
    <row r="404" spans="10:24" x14ac:dyDescent="0.3">
      <c r="J404">
        <v>403</v>
      </c>
      <c r="K404">
        <v>9</v>
      </c>
      <c r="L404">
        <v>9</v>
      </c>
      <c r="M404" t="s">
        <v>41</v>
      </c>
      <c r="N404" t="s">
        <v>36</v>
      </c>
      <c r="O404">
        <v>94.8</v>
      </c>
      <c r="P404">
        <v>227</v>
      </c>
      <c r="Q404">
        <v>706.7</v>
      </c>
      <c r="R404">
        <v>12</v>
      </c>
      <c r="S404">
        <v>25</v>
      </c>
      <c r="T404">
        <v>36</v>
      </c>
      <c r="U404">
        <v>4</v>
      </c>
      <c r="V404">
        <v>0</v>
      </c>
      <c r="W404">
        <v>0</v>
      </c>
      <c r="X404">
        <f t="shared" si="6"/>
        <v>0</v>
      </c>
    </row>
    <row r="405" spans="10:24" x14ac:dyDescent="0.3">
      <c r="J405">
        <v>404</v>
      </c>
      <c r="K405">
        <v>8</v>
      </c>
      <c r="L405">
        <v>6</v>
      </c>
      <c r="M405" t="s">
        <v>41</v>
      </c>
      <c r="N405" t="s">
        <v>48</v>
      </c>
      <c r="O405">
        <v>90.7</v>
      </c>
      <c r="P405">
        <v>194.1</v>
      </c>
      <c r="Q405">
        <v>643</v>
      </c>
      <c r="R405">
        <v>6.8</v>
      </c>
      <c r="S405">
        <v>21.3</v>
      </c>
      <c r="T405">
        <v>41</v>
      </c>
      <c r="U405">
        <v>3.6</v>
      </c>
      <c r="V405">
        <v>0</v>
      </c>
      <c r="W405">
        <v>0</v>
      </c>
      <c r="X405">
        <f t="shared" si="6"/>
        <v>0</v>
      </c>
    </row>
    <row r="406" spans="10:24" x14ac:dyDescent="0.3">
      <c r="J406">
        <v>405</v>
      </c>
      <c r="K406">
        <v>2</v>
      </c>
      <c r="L406">
        <v>4</v>
      </c>
      <c r="M406" t="s">
        <v>43</v>
      </c>
      <c r="N406" t="s">
        <v>44</v>
      </c>
      <c r="O406">
        <v>87.9</v>
      </c>
      <c r="P406">
        <v>84.8</v>
      </c>
      <c r="Q406">
        <v>725.1</v>
      </c>
      <c r="R406">
        <v>3.7</v>
      </c>
      <c r="S406">
        <v>21.8</v>
      </c>
      <c r="T406">
        <v>34</v>
      </c>
      <c r="U406">
        <v>2.2000000000000002</v>
      </c>
      <c r="V406">
        <v>0</v>
      </c>
      <c r="W406">
        <v>6.04</v>
      </c>
      <c r="X406">
        <f t="shared" si="6"/>
        <v>1</v>
      </c>
    </row>
    <row r="407" spans="10:24" x14ac:dyDescent="0.3">
      <c r="J407">
        <v>406</v>
      </c>
      <c r="K407">
        <v>2</v>
      </c>
      <c r="L407">
        <v>2</v>
      </c>
      <c r="M407" t="s">
        <v>41</v>
      </c>
      <c r="N407" t="s">
        <v>38</v>
      </c>
      <c r="O407">
        <v>94.6</v>
      </c>
      <c r="P407">
        <v>212.1</v>
      </c>
      <c r="Q407">
        <v>680.9</v>
      </c>
      <c r="R407">
        <v>9.5</v>
      </c>
      <c r="S407">
        <v>27.9</v>
      </c>
      <c r="T407">
        <v>27</v>
      </c>
      <c r="U407">
        <v>2.2000000000000002</v>
      </c>
      <c r="V407">
        <v>0</v>
      </c>
      <c r="W407">
        <v>0</v>
      </c>
      <c r="X407">
        <f t="shared" si="6"/>
        <v>0</v>
      </c>
    </row>
    <row r="408" spans="10:24" x14ac:dyDescent="0.3">
      <c r="J408">
        <v>407</v>
      </c>
      <c r="K408">
        <v>6</v>
      </c>
      <c r="L408">
        <v>5</v>
      </c>
      <c r="M408" t="s">
        <v>43</v>
      </c>
      <c r="N408" t="s">
        <v>39</v>
      </c>
      <c r="O408">
        <v>87.1</v>
      </c>
      <c r="P408">
        <v>291.3</v>
      </c>
      <c r="Q408">
        <v>860.6</v>
      </c>
      <c r="R408">
        <v>4</v>
      </c>
      <c r="S408">
        <v>17</v>
      </c>
      <c r="T408">
        <v>67</v>
      </c>
      <c r="U408">
        <v>4.9000000000000004</v>
      </c>
      <c r="V408">
        <v>0</v>
      </c>
      <c r="W408">
        <v>3.95</v>
      </c>
      <c r="X408">
        <f t="shared" si="6"/>
        <v>1</v>
      </c>
    </row>
    <row r="409" spans="10:24" x14ac:dyDescent="0.3">
      <c r="J409">
        <v>408</v>
      </c>
      <c r="K409">
        <v>4</v>
      </c>
      <c r="L409">
        <v>5</v>
      </c>
      <c r="M409" t="s">
        <v>49</v>
      </c>
      <c r="N409" t="s">
        <v>39</v>
      </c>
      <c r="O409">
        <v>84.7</v>
      </c>
      <c r="P409">
        <v>8.1999999999999993</v>
      </c>
      <c r="Q409">
        <v>55</v>
      </c>
      <c r="R409">
        <v>2.9</v>
      </c>
      <c r="S409">
        <v>14.2</v>
      </c>
      <c r="T409">
        <v>46</v>
      </c>
      <c r="U409">
        <v>4</v>
      </c>
      <c r="V409">
        <v>0</v>
      </c>
      <c r="W409">
        <v>0</v>
      </c>
      <c r="X409">
        <f t="shared" si="6"/>
        <v>0</v>
      </c>
    </row>
    <row r="410" spans="10:24" x14ac:dyDescent="0.3">
      <c r="J410">
        <v>409</v>
      </c>
      <c r="K410">
        <v>4</v>
      </c>
      <c r="L410">
        <v>3</v>
      </c>
      <c r="M410" t="s">
        <v>43</v>
      </c>
      <c r="N410" t="s">
        <v>36</v>
      </c>
      <c r="O410">
        <v>90.3</v>
      </c>
      <c r="P410">
        <v>290</v>
      </c>
      <c r="Q410">
        <v>855.3</v>
      </c>
      <c r="R410">
        <v>7.4</v>
      </c>
      <c r="S410">
        <v>19.899999999999999</v>
      </c>
      <c r="T410">
        <v>44</v>
      </c>
      <c r="U410">
        <v>3.1</v>
      </c>
      <c r="V410">
        <v>0</v>
      </c>
      <c r="W410">
        <v>7.8</v>
      </c>
      <c r="X410">
        <f t="shared" si="6"/>
        <v>1</v>
      </c>
    </row>
    <row r="411" spans="10:24" x14ac:dyDescent="0.3">
      <c r="J411">
        <v>410</v>
      </c>
      <c r="K411">
        <v>1</v>
      </c>
      <c r="L411">
        <v>4</v>
      </c>
      <c r="M411" t="s">
        <v>47</v>
      </c>
      <c r="N411" t="s">
        <v>38</v>
      </c>
      <c r="O411">
        <v>92.3</v>
      </c>
      <c r="P411">
        <v>96.2</v>
      </c>
      <c r="Q411">
        <v>450.2</v>
      </c>
      <c r="R411">
        <v>12.1</v>
      </c>
      <c r="S411">
        <v>23.4</v>
      </c>
      <c r="T411">
        <v>31</v>
      </c>
      <c r="U411">
        <v>5.4</v>
      </c>
      <c r="V411">
        <v>0</v>
      </c>
      <c r="W411">
        <v>0</v>
      </c>
      <c r="X411">
        <f t="shared" si="6"/>
        <v>0</v>
      </c>
    </row>
    <row r="412" spans="10:24" x14ac:dyDescent="0.3">
      <c r="J412">
        <v>411</v>
      </c>
      <c r="K412">
        <v>6</v>
      </c>
      <c r="L412">
        <v>3</v>
      </c>
      <c r="M412" t="s">
        <v>49</v>
      </c>
      <c r="N412" t="s">
        <v>36</v>
      </c>
      <c r="O412">
        <v>84.1</v>
      </c>
      <c r="P412">
        <v>7.3</v>
      </c>
      <c r="Q412">
        <v>52.8</v>
      </c>
      <c r="R412">
        <v>2.7</v>
      </c>
      <c r="S412">
        <v>14.7</v>
      </c>
      <c r="T412">
        <v>42</v>
      </c>
      <c r="U412">
        <v>2.7</v>
      </c>
      <c r="V412">
        <v>0</v>
      </c>
      <c r="W412">
        <v>0</v>
      </c>
      <c r="X412">
        <f t="shared" si="6"/>
        <v>0</v>
      </c>
    </row>
    <row r="413" spans="10:24" x14ac:dyDescent="0.3">
      <c r="J413">
        <v>412</v>
      </c>
      <c r="K413">
        <v>7</v>
      </c>
      <c r="L413">
        <v>4</v>
      </c>
      <c r="M413" t="s">
        <v>49</v>
      </c>
      <c r="N413" t="s">
        <v>36</v>
      </c>
      <c r="O413">
        <v>84.6</v>
      </c>
      <c r="P413">
        <v>3.2</v>
      </c>
      <c r="Q413">
        <v>43.6</v>
      </c>
      <c r="R413">
        <v>3.3</v>
      </c>
      <c r="S413">
        <v>8.1999999999999993</v>
      </c>
      <c r="T413">
        <v>53</v>
      </c>
      <c r="U413">
        <v>9.4</v>
      </c>
      <c r="V413">
        <v>0</v>
      </c>
      <c r="W413">
        <v>4.62</v>
      </c>
      <c r="X413">
        <f t="shared" si="6"/>
        <v>1</v>
      </c>
    </row>
    <row r="414" spans="10:24" x14ac:dyDescent="0.3">
      <c r="J414">
        <v>413</v>
      </c>
      <c r="K414">
        <v>9</v>
      </c>
      <c r="L414">
        <v>4</v>
      </c>
      <c r="M414" t="s">
        <v>47</v>
      </c>
      <c r="N414" t="s">
        <v>42</v>
      </c>
      <c r="O414">
        <v>92.3</v>
      </c>
      <c r="P414">
        <v>92.1</v>
      </c>
      <c r="Q414">
        <v>442.1</v>
      </c>
      <c r="R414">
        <v>9.8000000000000007</v>
      </c>
      <c r="S414">
        <v>22.8</v>
      </c>
      <c r="T414">
        <v>27</v>
      </c>
      <c r="U414">
        <v>4.5</v>
      </c>
      <c r="V414">
        <v>0</v>
      </c>
      <c r="W414">
        <v>1.63</v>
      </c>
      <c r="X414">
        <f t="shared" si="6"/>
        <v>1</v>
      </c>
    </row>
    <row r="415" spans="10:24" x14ac:dyDescent="0.3">
      <c r="J415">
        <v>414</v>
      </c>
      <c r="K415">
        <v>7</v>
      </c>
      <c r="L415">
        <v>5</v>
      </c>
      <c r="M415" t="s">
        <v>41</v>
      </c>
      <c r="N415" t="s">
        <v>39</v>
      </c>
      <c r="O415">
        <v>93.7</v>
      </c>
      <c r="P415">
        <v>231.1</v>
      </c>
      <c r="Q415">
        <v>715.1</v>
      </c>
      <c r="R415">
        <v>8.4</v>
      </c>
      <c r="S415">
        <v>26.4</v>
      </c>
      <c r="T415">
        <v>33</v>
      </c>
      <c r="U415">
        <v>3.6</v>
      </c>
      <c r="V415">
        <v>0</v>
      </c>
      <c r="W415">
        <v>0</v>
      </c>
      <c r="X415">
        <f t="shared" si="6"/>
        <v>0</v>
      </c>
    </row>
    <row r="416" spans="10:24" x14ac:dyDescent="0.3">
      <c r="J416">
        <v>415</v>
      </c>
      <c r="K416">
        <v>5</v>
      </c>
      <c r="L416">
        <v>4</v>
      </c>
      <c r="M416" t="s">
        <v>41</v>
      </c>
      <c r="N416" t="s">
        <v>40</v>
      </c>
      <c r="O416">
        <v>93.6</v>
      </c>
      <c r="P416">
        <v>235.1</v>
      </c>
      <c r="Q416">
        <v>723.1</v>
      </c>
      <c r="R416">
        <v>10.1</v>
      </c>
      <c r="S416">
        <v>24.1</v>
      </c>
      <c r="T416">
        <v>50</v>
      </c>
      <c r="U416">
        <v>4</v>
      </c>
      <c r="V416">
        <v>0</v>
      </c>
      <c r="W416">
        <v>0</v>
      </c>
      <c r="X416">
        <f t="shared" si="6"/>
        <v>0</v>
      </c>
    </row>
    <row r="417" spans="10:24" x14ac:dyDescent="0.3">
      <c r="J417">
        <v>416</v>
      </c>
      <c r="K417">
        <v>8</v>
      </c>
      <c r="L417">
        <v>6</v>
      </c>
      <c r="M417" t="s">
        <v>41</v>
      </c>
      <c r="N417" t="s">
        <v>48</v>
      </c>
      <c r="O417">
        <v>94.8</v>
      </c>
      <c r="P417">
        <v>222.4</v>
      </c>
      <c r="Q417">
        <v>698.6</v>
      </c>
      <c r="R417">
        <v>13.9</v>
      </c>
      <c r="S417">
        <v>27.5</v>
      </c>
      <c r="T417">
        <v>27</v>
      </c>
      <c r="U417">
        <v>4.9000000000000004</v>
      </c>
      <c r="V417">
        <v>0</v>
      </c>
      <c r="W417">
        <v>746.28</v>
      </c>
      <c r="X417">
        <f t="shared" si="6"/>
        <v>1</v>
      </c>
    </row>
    <row r="418" spans="10:24" x14ac:dyDescent="0.3">
      <c r="J418">
        <v>417</v>
      </c>
      <c r="K418">
        <v>6</v>
      </c>
      <c r="L418">
        <v>3</v>
      </c>
      <c r="M418" t="s">
        <v>47</v>
      </c>
      <c r="N418" t="s">
        <v>38</v>
      </c>
      <c r="O418">
        <v>92.7</v>
      </c>
      <c r="P418">
        <v>164.1</v>
      </c>
      <c r="Q418">
        <v>575.79999999999995</v>
      </c>
      <c r="R418">
        <v>8.9</v>
      </c>
      <c r="S418">
        <v>26.3</v>
      </c>
      <c r="T418">
        <v>39</v>
      </c>
      <c r="U418">
        <v>3.1</v>
      </c>
      <c r="V418">
        <v>0</v>
      </c>
      <c r="W418">
        <v>7.02</v>
      </c>
      <c r="X418">
        <f t="shared" si="6"/>
        <v>1</v>
      </c>
    </row>
    <row r="419" spans="10:24" x14ac:dyDescent="0.3">
      <c r="J419">
        <v>418</v>
      </c>
      <c r="K419">
        <v>6</v>
      </c>
      <c r="L419">
        <v>5</v>
      </c>
      <c r="M419" t="s">
        <v>35</v>
      </c>
      <c r="N419" t="s">
        <v>44</v>
      </c>
      <c r="O419">
        <v>93.4</v>
      </c>
      <c r="P419">
        <v>17.3</v>
      </c>
      <c r="Q419">
        <v>28.3</v>
      </c>
      <c r="R419">
        <v>9.9</v>
      </c>
      <c r="S419">
        <v>13.8</v>
      </c>
      <c r="T419">
        <v>24</v>
      </c>
      <c r="U419">
        <v>5.8</v>
      </c>
      <c r="V419">
        <v>0</v>
      </c>
      <c r="W419">
        <v>0</v>
      </c>
      <c r="X419">
        <f t="shared" si="6"/>
        <v>0</v>
      </c>
    </row>
    <row r="420" spans="10:24" x14ac:dyDescent="0.3">
      <c r="J420">
        <v>419</v>
      </c>
      <c r="K420">
        <v>2</v>
      </c>
      <c r="L420">
        <v>4</v>
      </c>
      <c r="M420" t="s">
        <v>41</v>
      </c>
      <c r="N420" t="s">
        <v>40</v>
      </c>
      <c r="O420">
        <v>92</v>
      </c>
      <c r="P420">
        <v>203.2</v>
      </c>
      <c r="Q420">
        <v>664.5</v>
      </c>
      <c r="R420">
        <v>8.1</v>
      </c>
      <c r="S420">
        <v>24.9</v>
      </c>
      <c r="T420">
        <v>42</v>
      </c>
      <c r="U420">
        <v>5.4</v>
      </c>
      <c r="V420">
        <v>0</v>
      </c>
      <c r="W420">
        <v>2.44</v>
      </c>
      <c r="X420">
        <f t="shared" si="6"/>
        <v>1</v>
      </c>
    </row>
    <row r="421" spans="10:24" x14ac:dyDescent="0.3">
      <c r="J421">
        <v>420</v>
      </c>
      <c r="K421">
        <v>2</v>
      </c>
      <c r="L421">
        <v>5</v>
      </c>
      <c r="M421" t="s">
        <v>41</v>
      </c>
      <c r="N421" t="s">
        <v>40</v>
      </c>
      <c r="O421">
        <v>91.6</v>
      </c>
      <c r="P421">
        <v>181.3</v>
      </c>
      <c r="Q421">
        <v>613</v>
      </c>
      <c r="R421">
        <v>7.6</v>
      </c>
      <c r="S421">
        <v>24.8</v>
      </c>
      <c r="T421">
        <v>36</v>
      </c>
      <c r="U421">
        <v>4</v>
      </c>
      <c r="V421">
        <v>0</v>
      </c>
      <c r="W421">
        <v>3.05</v>
      </c>
      <c r="X421">
        <f t="shared" si="6"/>
        <v>1</v>
      </c>
    </row>
    <row r="422" spans="10:24" x14ac:dyDescent="0.3">
      <c r="J422">
        <v>421</v>
      </c>
      <c r="K422">
        <v>8</v>
      </c>
      <c r="L422">
        <v>8</v>
      </c>
      <c r="M422" t="s">
        <v>41</v>
      </c>
      <c r="N422" t="s">
        <v>44</v>
      </c>
      <c r="O422">
        <v>91.7</v>
      </c>
      <c r="P422">
        <v>191.4</v>
      </c>
      <c r="Q422">
        <v>635.9</v>
      </c>
      <c r="R422">
        <v>7.8</v>
      </c>
      <c r="S422">
        <v>26.2</v>
      </c>
      <c r="T422">
        <v>36</v>
      </c>
      <c r="U422">
        <v>4.5</v>
      </c>
      <c r="V422">
        <v>0</v>
      </c>
      <c r="W422">
        <v>185.76</v>
      </c>
      <c r="X422">
        <f t="shared" si="6"/>
        <v>1</v>
      </c>
    </row>
    <row r="423" spans="10:24" x14ac:dyDescent="0.3">
      <c r="J423">
        <v>422</v>
      </c>
      <c r="K423">
        <v>2</v>
      </c>
      <c r="L423">
        <v>4</v>
      </c>
      <c r="M423" t="s">
        <v>41</v>
      </c>
      <c r="N423" t="s">
        <v>44</v>
      </c>
      <c r="O423">
        <v>95.2</v>
      </c>
      <c r="P423">
        <v>217.7</v>
      </c>
      <c r="Q423">
        <v>690</v>
      </c>
      <c r="R423">
        <v>18</v>
      </c>
      <c r="S423">
        <v>30.8</v>
      </c>
      <c r="T423">
        <v>19</v>
      </c>
      <c r="U423">
        <v>4.5</v>
      </c>
      <c r="V423">
        <v>0</v>
      </c>
      <c r="W423">
        <v>0</v>
      </c>
      <c r="X423">
        <f t="shared" si="6"/>
        <v>0</v>
      </c>
    </row>
    <row r="424" spans="10:24" x14ac:dyDescent="0.3">
      <c r="J424">
        <v>423</v>
      </c>
      <c r="K424">
        <v>8</v>
      </c>
      <c r="L424">
        <v>6</v>
      </c>
      <c r="M424" t="s">
        <v>47</v>
      </c>
      <c r="N424" t="s">
        <v>40</v>
      </c>
      <c r="O424">
        <v>88.9</v>
      </c>
      <c r="P424">
        <v>263.10000000000002</v>
      </c>
      <c r="Q424">
        <v>795.9</v>
      </c>
      <c r="R424">
        <v>5.2</v>
      </c>
      <c r="S424">
        <v>29.3</v>
      </c>
      <c r="T424">
        <v>27</v>
      </c>
      <c r="U424">
        <v>3.6</v>
      </c>
      <c r="V424">
        <v>0</v>
      </c>
      <c r="W424">
        <v>6.3</v>
      </c>
      <c r="X424">
        <f t="shared" si="6"/>
        <v>1</v>
      </c>
    </row>
    <row r="425" spans="10:24" x14ac:dyDescent="0.3">
      <c r="J425">
        <v>424</v>
      </c>
      <c r="K425">
        <v>1</v>
      </c>
      <c r="L425">
        <v>3</v>
      </c>
      <c r="M425" t="s">
        <v>43</v>
      </c>
      <c r="N425" t="s">
        <v>39</v>
      </c>
      <c r="O425">
        <v>91.2</v>
      </c>
      <c r="P425">
        <v>94.3</v>
      </c>
      <c r="Q425">
        <v>744.4</v>
      </c>
      <c r="R425">
        <v>8.4</v>
      </c>
      <c r="S425">
        <v>22.3</v>
      </c>
      <c r="T425">
        <v>48</v>
      </c>
      <c r="U425">
        <v>4</v>
      </c>
      <c r="V425">
        <v>0</v>
      </c>
      <c r="W425">
        <v>0.72</v>
      </c>
      <c r="X425">
        <f t="shared" si="6"/>
        <v>1</v>
      </c>
    </row>
    <row r="426" spans="10:24" x14ac:dyDescent="0.3">
      <c r="J426">
        <v>425</v>
      </c>
      <c r="K426">
        <v>8</v>
      </c>
      <c r="L426">
        <v>6</v>
      </c>
      <c r="M426" t="s">
        <v>41</v>
      </c>
      <c r="N426" t="s">
        <v>39</v>
      </c>
      <c r="O426">
        <v>93.7</v>
      </c>
      <c r="P426">
        <v>231.1</v>
      </c>
      <c r="Q426">
        <v>715.1</v>
      </c>
      <c r="R426">
        <v>8.4</v>
      </c>
      <c r="S426">
        <v>26.9</v>
      </c>
      <c r="T426">
        <v>31</v>
      </c>
      <c r="U426">
        <v>3.6</v>
      </c>
      <c r="V426">
        <v>0</v>
      </c>
      <c r="W426">
        <v>4.96</v>
      </c>
      <c r="X426">
        <f t="shared" si="6"/>
        <v>1</v>
      </c>
    </row>
    <row r="427" spans="10:24" x14ac:dyDescent="0.3">
      <c r="J427">
        <v>426</v>
      </c>
      <c r="K427">
        <v>2</v>
      </c>
      <c r="L427">
        <v>2</v>
      </c>
      <c r="M427" t="s">
        <v>41</v>
      </c>
      <c r="N427" t="s">
        <v>48</v>
      </c>
      <c r="O427">
        <v>91.6</v>
      </c>
      <c r="P427">
        <v>248.4</v>
      </c>
      <c r="Q427">
        <v>753.8</v>
      </c>
      <c r="R427">
        <v>6.3</v>
      </c>
      <c r="S427">
        <v>20.399999999999999</v>
      </c>
      <c r="T427">
        <v>56</v>
      </c>
      <c r="U427">
        <v>2.2000000000000002</v>
      </c>
      <c r="V427">
        <v>0</v>
      </c>
      <c r="W427">
        <v>0</v>
      </c>
      <c r="X427">
        <f t="shared" si="6"/>
        <v>0</v>
      </c>
    </row>
    <row r="428" spans="10:24" x14ac:dyDescent="0.3">
      <c r="J428">
        <v>427</v>
      </c>
      <c r="K428">
        <v>8</v>
      </c>
      <c r="L428">
        <v>6</v>
      </c>
      <c r="M428" t="s">
        <v>41</v>
      </c>
      <c r="N428" t="s">
        <v>48</v>
      </c>
      <c r="O428">
        <v>91.6</v>
      </c>
      <c r="P428">
        <v>248.4</v>
      </c>
      <c r="Q428">
        <v>753.8</v>
      </c>
      <c r="R428">
        <v>6.3</v>
      </c>
      <c r="S428">
        <v>20.399999999999999</v>
      </c>
      <c r="T428">
        <v>56</v>
      </c>
      <c r="U428">
        <v>2.2000000000000002</v>
      </c>
      <c r="V428">
        <v>0</v>
      </c>
      <c r="W428">
        <v>0</v>
      </c>
      <c r="X428">
        <f t="shared" si="6"/>
        <v>0</v>
      </c>
    </row>
    <row r="429" spans="10:24" x14ac:dyDescent="0.3">
      <c r="J429">
        <v>428</v>
      </c>
      <c r="K429">
        <v>2</v>
      </c>
      <c r="L429">
        <v>4</v>
      </c>
      <c r="M429" t="s">
        <v>41</v>
      </c>
      <c r="N429" t="s">
        <v>42</v>
      </c>
      <c r="O429">
        <v>92.1</v>
      </c>
      <c r="P429">
        <v>207</v>
      </c>
      <c r="Q429">
        <v>672.6</v>
      </c>
      <c r="R429">
        <v>8.1999999999999993</v>
      </c>
      <c r="S429">
        <v>27.9</v>
      </c>
      <c r="T429">
        <v>33</v>
      </c>
      <c r="U429">
        <v>2.2000000000000002</v>
      </c>
      <c r="V429">
        <v>0</v>
      </c>
      <c r="W429">
        <v>2.35</v>
      </c>
      <c r="X429">
        <f t="shared" si="6"/>
        <v>1</v>
      </c>
    </row>
    <row r="430" spans="10:24" x14ac:dyDescent="0.3">
      <c r="J430">
        <v>429</v>
      </c>
      <c r="K430">
        <v>1</v>
      </c>
      <c r="L430">
        <v>3</v>
      </c>
      <c r="M430" t="s">
        <v>41</v>
      </c>
      <c r="N430" t="s">
        <v>48</v>
      </c>
      <c r="O430">
        <v>94.8</v>
      </c>
      <c r="P430">
        <v>222.4</v>
      </c>
      <c r="Q430">
        <v>698.6</v>
      </c>
      <c r="R430">
        <v>13.9</v>
      </c>
      <c r="S430">
        <v>26.2</v>
      </c>
      <c r="T430">
        <v>34</v>
      </c>
      <c r="U430">
        <v>5.8</v>
      </c>
      <c r="V430">
        <v>0</v>
      </c>
      <c r="W430">
        <v>0</v>
      </c>
      <c r="X430">
        <f t="shared" si="6"/>
        <v>0</v>
      </c>
    </row>
    <row r="431" spans="10:24" x14ac:dyDescent="0.3">
      <c r="J431">
        <v>430</v>
      </c>
      <c r="K431">
        <v>3</v>
      </c>
      <c r="L431">
        <v>4</v>
      </c>
      <c r="M431" t="s">
        <v>41</v>
      </c>
      <c r="N431" t="s">
        <v>40</v>
      </c>
      <c r="O431">
        <v>91.6</v>
      </c>
      <c r="P431">
        <v>181.3</v>
      </c>
      <c r="Q431">
        <v>613</v>
      </c>
      <c r="R431">
        <v>7.6</v>
      </c>
      <c r="S431">
        <v>24.6</v>
      </c>
      <c r="T431">
        <v>44</v>
      </c>
      <c r="U431">
        <v>4</v>
      </c>
      <c r="V431">
        <v>0</v>
      </c>
      <c r="W431">
        <v>3.2</v>
      </c>
      <c r="X431">
        <f t="shared" si="6"/>
        <v>1</v>
      </c>
    </row>
    <row r="432" spans="10:24" x14ac:dyDescent="0.3">
      <c r="J432">
        <v>431</v>
      </c>
      <c r="K432">
        <v>7</v>
      </c>
      <c r="L432">
        <v>4</v>
      </c>
      <c r="M432" t="s">
        <v>43</v>
      </c>
      <c r="N432" t="s">
        <v>48</v>
      </c>
      <c r="O432">
        <v>89.7</v>
      </c>
      <c r="P432">
        <v>287.2</v>
      </c>
      <c r="Q432">
        <v>849.3</v>
      </c>
      <c r="R432">
        <v>6.8</v>
      </c>
      <c r="S432">
        <v>19.399999999999999</v>
      </c>
      <c r="T432">
        <v>45</v>
      </c>
      <c r="U432">
        <v>3.6</v>
      </c>
      <c r="V432">
        <v>0</v>
      </c>
      <c r="W432">
        <v>0</v>
      </c>
      <c r="X432">
        <f t="shared" si="6"/>
        <v>0</v>
      </c>
    </row>
    <row r="433" spans="10:24" x14ac:dyDescent="0.3">
      <c r="J433">
        <v>432</v>
      </c>
      <c r="K433">
        <v>1</v>
      </c>
      <c r="L433">
        <v>3</v>
      </c>
      <c r="M433" t="s">
        <v>41</v>
      </c>
      <c r="N433" t="s">
        <v>39</v>
      </c>
      <c r="O433">
        <v>92.1</v>
      </c>
      <c r="P433">
        <v>178</v>
      </c>
      <c r="Q433">
        <v>605.29999999999995</v>
      </c>
      <c r="R433">
        <v>9.6</v>
      </c>
      <c r="S433">
        <v>23.3</v>
      </c>
      <c r="T433">
        <v>40</v>
      </c>
      <c r="U433">
        <v>4</v>
      </c>
      <c r="V433">
        <v>0</v>
      </c>
      <c r="W433">
        <v>6.36</v>
      </c>
      <c r="X433">
        <f t="shared" si="6"/>
        <v>1</v>
      </c>
    </row>
    <row r="434" spans="10:24" x14ac:dyDescent="0.3">
      <c r="J434">
        <v>433</v>
      </c>
      <c r="K434">
        <v>8</v>
      </c>
      <c r="L434">
        <v>6</v>
      </c>
      <c r="M434" t="s">
        <v>41</v>
      </c>
      <c r="N434" t="s">
        <v>48</v>
      </c>
      <c r="O434">
        <v>94.8</v>
      </c>
      <c r="P434">
        <v>222.4</v>
      </c>
      <c r="Q434">
        <v>698.6</v>
      </c>
      <c r="R434">
        <v>13.9</v>
      </c>
      <c r="S434">
        <v>23.9</v>
      </c>
      <c r="T434">
        <v>38</v>
      </c>
      <c r="U434">
        <v>6.7</v>
      </c>
      <c r="V434">
        <v>0</v>
      </c>
      <c r="W434">
        <v>0</v>
      </c>
      <c r="X434">
        <f t="shared" si="6"/>
        <v>0</v>
      </c>
    </row>
    <row r="435" spans="10:24" x14ac:dyDescent="0.3">
      <c r="J435">
        <v>434</v>
      </c>
      <c r="K435">
        <v>2</v>
      </c>
      <c r="L435">
        <v>4</v>
      </c>
      <c r="M435" t="s">
        <v>41</v>
      </c>
      <c r="N435" t="s">
        <v>40</v>
      </c>
      <c r="O435">
        <v>93.6</v>
      </c>
      <c r="P435">
        <v>235.1</v>
      </c>
      <c r="Q435">
        <v>723.1</v>
      </c>
      <c r="R435">
        <v>10.1</v>
      </c>
      <c r="S435">
        <v>20.9</v>
      </c>
      <c r="T435">
        <v>66</v>
      </c>
      <c r="U435">
        <v>4.9000000000000004</v>
      </c>
      <c r="V435">
        <v>0</v>
      </c>
      <c r="W435">
        <v>15.34</v>
      </c>
      <c r="X435">
        <f t="shared" si="6"/>
        <v>1</v>
      </c>
    </row>
    <row r="436" spans="10:24" x14ac:dyDescent="0.3">
      <c r="J436">
        <v>435</v>
      </c>
      <c r="K436">
        <v>1</v>
      </c>
      <c r="L436">
        <v>4</v>
      </c>
      <c r="M436" t="s">
        <v>41</v>
      </c>
      <c r="N436" t="s">
        <v>36</v>
      </c>
      <c r="O436">
        <v>90.6</v>
      </c>
      <c r="P436">
        <v>269.8</v>
      </c>
      <c r="Q436">
        <v>811.2</v>
      </c>
      <c r="R436">
        <v>5.5</v>
      </c>
      <c r="S436">
        <v>22.2</v>
      </c>
      <c r="T436">
        <v>45</v>
      </c>
      <c r="U436">
        <v>3.6</v>
      </c>
      <c r="V436">
        <v>0</v>
      </c>
      <c r="W436">
        <v>0</v>
      </c>
      <c r="X436">
        <f t="shared" si="6"/>
        <v>0</v>
      </c>
    </row>
    <row r="437" spans="10:24" x14ac:dyDescent="0.3">
      <c r="J437">
        <v>436</v>
      </c>
      <c r="K437">
        <v>2</v>
      </c>
      <c r="L437">
        <v>5</v>
      </c>
      <c r="M437" t="s">
        <v>47</v>
      </c>
      <c r="N437" t="s">
        <v>39</v>
      </c>
      <c r="O437">
        <v>90.8</v>
      </c>
      <c r="P437">
        <v>84.7</v>
      </c>
      <c r="Q437">
        <v>376.6</v>
      </c>
      <c r="R437">
        <v>5.6</v>
      </c>
      <c r="S437">
        <v>23.8</v>
      </c>
      <c r="T437">
        <v>51</v>
      </c>
      <c r="U437">
        <v>1.8</v>
      </c>
      <c r="V437">
        <v>0</v>
      </c>
      <c r="W437">
        <v>0</v>
      </c>
      <c r="X437">
        <f t="shared" si="6"/>
        <v>0</v>
      </c>
    </row>
    <row r="438" spans="10:24" x14ac:dyDescent="0.3">
      <c r="J438">
        <v>437</v>
      </c>
      <c r="K438">
        <v>8</v>
      </c>
      <c r="L438">
        <v>6</v>
      </c>
      <c r="M438" t="s">
        <v>41</v>
      </c>
      <c r="N438" t="s">
        <v>42</v>
      </c>
      <c r="O438">
        <v>92.1</v>
      </c>
      <c r="P438">
        <v>207</v>
      </c>
      <c r="Q438">
        <v>672.6</v>
      </c>
      <c r="R438">
        <v>8.1999999999999993</v>
      </c>
      <c r="S438">
        <v>26.8</v>
      </c>
      <c r="T438">
        <v>35</v>
      </c>
      <c r="U438">
        <v>1.3</v>
      </c>
      <c r="V438">
        <v>0</v>
      </c>
      <c r="W438">
        <v>0.54</v>
      </c>
      <c r="X438">
        <f t="shared" si="6"/>
        <v>1</v>
      </c>
    </row>
    <row r="439" spans="10:24" x14ac:dyDescent="0.3">
      <c r="J439">
        <v>438</v>
      </c>
      <c r="K439">
        <v>8</v>
      </c>
      <c r="L439">
        <v>6</v>
      </c>
      <c r="M439" t="s">
        <v>41</v>
      </c>
      <c r="N439" t="s">
        <v>39</v>
      </c>
      <c r="O439">
        <v>89.4</v>
      </c>
      <c r="P439">
        <v>253.6</v>
      </c>
      <c r="Q439">
        <v>768.4</v>
      </c>
      <c r="R439">
        <v>9.6999999999999993</v>
      </c>
      <c r="S439">
        <v>14.2</v>
      </c>
      <c r="T439">
        <v>73</v>
      </c>
      <c r="U439">
        <v>2.7</v>
      </c>
      <c r="V439">
        <v>0</v>
      </c>
      <c r="W439">
        <v>0</v>
      </c>
      <c r="X439">
        <f t="shared" si="6"/>
        <v>0</v>
      </c>
    </row>
    <row r="440" spans="10:24" x14ac:dyDescent="0.3">
      <c r="J440">
        <v>439</v>
      </c>
      <c r="K440">
        <v>2</v>
      </c>
      <c r="L440">
        <v>5</v>
      </c>
      <c r="M440" t="s">
        <v>41</v>
      </c>
      <c r="N440" t="s">
        <v>39</v>
      </c>
      <c r="O440">
        <v>93.7</v>
      </c>
      <c r="P440">
        <v>231.1</v>
      </c>
      <c r="Q440">
        <v>715.1</v>
      </c>
      <c r="R440">
        <v>8.4</v>
      </c>
      <c r="S440">
        <v>23.6</v>
      </c>
      <c r="T440">
        <v>53</v>
      </c>
      <c r="U440">
        <v>4</v>
      </c>
      <c r="V440">
        <v>0</v>
      </c>
      <c r="W440">
        <v>6.43</v>
      </c>
      <c r="X440">
        <f t="shared" si="6"/>
        <v>1</v>
      </c>
    </row>
    <row r="441" spans="10:24" x14ac:dyDescent="0.3">
      <c r="J441">
        <v>440</v>
      </c>
      <c r="K441">
        <v>1</v>
      </c>
      <c r="L441">
        <v>3</v>
      </c>
      <c r="M441" t="s">
        <v>43</v>
      </c>
      <c r="N441" t="s">
        <v>36</v>
      </c>
      <c r="O441">
        <v>91.1</v>
      </c>
      <c r="P441">
        <v>91.3</v>
      </c>
      <c r="Q441">
        <v>738.1</v>
      </c>
      <c r="R441">
        <v>7.2</v>
      </c>
      <c r="S441">
        <v>19.100000000000001</v>
      </c>
      <c r="T441">
        <v>46</v>
      </c>
      <c r="U441">
        <v>2.2000000000000002</v>
      </c>
      <c r="V441">
        <v>0</v>
      </c>
      <c r="W441">
        <v>0.33</v>
      </c>
      <c r="X441">
        <f t="shared" si="6"/>
        <v>1</v>
      </c>
    </row>
    <row r="442" spans="10:24" x14ac:dyDescent="0.3">
      <c r="J442">
        <v>441</v>
      </c>
      <c r="K442">
        <v>5</v>
      </c>
      <c r="L442">
        <v>4</v>
      </c>
      <c r="M442" t="s">
        <v>43</v>
      </c>
      <c r="N442" t="s">
        <v>36</v>
      </c>
      <c r="O442">
        <v>90.3</v>
      </c>
      <c r="P442">
        <v>290</v>
      </c>
      <c r="Q442">
        <v>855.3</v>
      </c>
      <c r="R442">
        <v>7.4</v>
      </c>
      <c r="S442">
        <v>16.2</v>
      </c>
      <c r="T442">
        <v>58</v>
      </c>
      <c r="U442">
        <v>3.6</v>
      </c>
      <c r="V442">
        <v>0</v>
      </c>
      <c r="W442">
        <v>0</v>
      </c>
      <c r="X442">
        <f t="shared" si="6"/>
        <v>0</v>
      </c>
    </row>
    <row r="443" spans="10:24" x14ac:dyDescent="0.3">
      <c r="J443">
        <v>442</v>
      </c>
      <c r="K443">
        <v>8</v>
      </c>
      <c r="L443">
        <v>6</v>
      </c>
      <c r="M443" t="s">
        <v>41</v>
      </c>
      <c r="N443" t="s">
        <v>42</v>
      </c>
      <c r="O443">
        <v>92.1</v>
      </c>
      <c r="P443">
        <v>207</v>
      </c>
      <c r="Q443">
        <v>672.6</v>
      </c>
      <c r="R443">
        <v>8.1999999999999993</v>
      </c>
      <c r="S443">
        <v>25.5</v>
      </c>
      <c r="T443">
        <v>29</v>
      </c>
      <c r="U443">
        <v>1.8</v>
      </c>
      <c r="V443">
        <v>0</v>
      </c>
      <c r="W443">
        <v>1.23</v>
      </c>
      <c r="X443">
        <f t="shared" si="6"/>
        <v>1</v>
      </c>
    </row>
    <row r="444" spans="10:24" x14ac:dyDescent="0.3">
      <c r="J444">
        <v>443</v>
      </c>
      <c r="K444">
        <v>6</v>
      </c>
      <c r="L444">
        <v>5</v>
      </c>
      <c r="M444" t="s">
        <v>45</v>
      </c>
      <c r="N444" t="s">
        <v>42</v>
      </c>
      <c r="O444">
        <v>87.9</v>
      </c>
      <c r="P444">
        <v>24.9</v>
      </c>
      <c r="Q444">
        <v>41.6</v>
      </c>
      <c r="R444">
        <v>3.7</v>
      </c>
      <c r="S444">
        <v>10.9</v>
      </c>
      <c r="T444">
        <v>64</v>
      </c>
      <c r="U444">
        <v>3.1</v>
      </c>
      <c r="V444">
        <v>0</v>
      </c>
      <c r="W444">
        <v>3.35</v>
      </c>
      <c r="X444">
        <f t="shared" si="6"/>
        <v>1</v>
      </c>
    </row>
    <row r="445" spans="10:24" x14ac:dyDescent="0.3">
      <c r="J445">
        <v>444</v>
      </c>
      <c r="K445">
        <v>1</v>
      </c>
      <c r="L445">
        <v>2</v>
      </c>
      <c r="M445" t="s">
        <v>47</v>
      </c>
      <c r="N445" t="s">
        <v>36</v>
      </c>
      <c r="O445">
        <v>90.7</v>
      </c>
      <c r="P445">
        <v>80.900000000000006</v>
      </c>
      <c r="Q445">
        <v>368.3</v>
      </c>
      <c r="R445">
        <v>16.8</v>
      </c>
      <c r="S445">
        <v>14.8</v>
      </c>
      <c r="T445">
        <v>78</v>
      </c>
      <c r="U445">
        <v>8</v>
      </c>
      <c r="V445">
        <v>0</v>
      </c>
      <c r="W445">
        <v>0</v>
      </c>
      <c r="X445">
        <f t="shared" si="6"/>
        <v>0</v>
      </c>
    </row>
    <row r="446" spans="10:24" x14ac:dyDescent="0.3">
      <c r="J446">
        <v>445</v>
      </c>
      <c r="K446">
        <v>2</v>
      </c>
      <c r="L446">
        <v>5</v>
      </c>
      <c r="M446" t="s">
        <v>43</v>
      </c>
      <c r="N446" t="s">
        <v>36</v>
      </c>
      <c r="O446">
        <v>90.3</v>
      </c>
      <c r="P446">
        <v>290</v>
      </c>
      <c r="Q446">
        <v>855.3</v>
      </c>
      <c r="R446">
        <v>7.4</v>
      </c>
      <c r="S446">
        <v>16.2</v>
      </c>
      <c r="T446">
        <v>58</v>
      </c>
      <c r="U446">
        <v>3.6</v>
      </c>
      <c r="V446">
        <v>0</v>
      </c>
      <c r="W446">
        <v>9.9600000000000009</v>
      </c>
      <c r="X446">
        <f t="shared" si="6"/>
        <v>1</v>
      </c>
    </row>
    <row r="447" spans="10:24" x14ac:dyDescent="0.3">
      <c r="J447">
        <v>446</v>
      </c>
      <c r="K447">
        <v>5</v>
      </c>
      <c r="L447">
        <v>5</v>
      </c>
      <c r="M447" t="s">
        <v>41</v>
      </c>
      <c r="N447" t="s">
        <v>40</v>
      </c>
      <c r="O447">
        <v>94</v>
      </c>
      <c r="P447">
        <v>47.9</v>
      </c>
      <c r="Q447">
        <v>100.7</v>
      </c>
      <c r="R447">
        <v>10.7</v>
      </c>
      <c r="S447">
        <v>17.3</v>
      </c>
      <c r="T447">
        <v>80</v>
      </c>
      <c r="U447">
        <v>4.5</v>
      </c>
      <c r="V447">
        <v>0</v>
      </c>
      <c r="W447">
        <v>0</v>
      </c>
      <c r="X447">
        <f t="shared" si="6"/>
        <v>0</v>
      </c>
    </row>
    <row r="448" spans="10:24" x14ac:dyDescent="0.3">
      <c r="J448">
        <v>447</v>
      </c>
      <c r="K448">
        <v>6</v>
      </c>
      <c r="L448">
        <v>5</v>
      </c>
      <c r="M448" t="s">
        <v>41</v>
      </c>
      <c r="N448" t="s">
        <v>40</v>
      </c>
      <c r="O448">
        <v>92</v>
      </c>
      <c r="P448">
        <v>203.2</v>
      </c>
      <c r="Q448">
        <v>664.5</v>
      </c>
      <c r="R448">
        <v>8.1</v>
      </c>
      <c r="S448">
        <v>19.100000000000001</v>
      </c>
      <c r="T448">
        <v>70</v>
      </c>
      <c r="U448">
        <v>2.2000000000000002</v>
      </c>
      <c r="V448">
        <v>0</v>
      </c>
      <c r="W448">
        <v>0</v>
      </c>
      <c r="X448">
        <f t="shared" si="6"/>
        <v>0</v>
      </c>
    </row>
    <row r="449" spans="10:24" x14ac:dyDescent="0.3">
      <c r="J449">
        <v>448</v>
      </c>
      <c r="K449">
        <v>3</v>
      </c>
      <c r="L449">
        <v>4</v>
      </c>
      <c r="M449" t="s">
        <v>35</v>
      </c>
      <c r="N449" t="s">
        <v>44</v>
      </c>
      <c r="O449">
        <v>93.4</v>
      </c>
      <c r="P449">
        <v>17.3</v>
      </c>
      <c r="Q449">
        <v>28.3</v>
      </c>
      <c r="R449">
        <v>9.9</v>
      </c>
      <c r="S449">
        <v>8.9</v>
      </c>
      <c r="T449">
        <v>35</v>
      </c>
      <c r="U449">
        <v>8</v>
      </c>
      <c r="V449">
        <v>0</v>
      </c>
      <c r="W449">
        <v>0</v>
      </c>
      <c r="X449">
        <f t="shared" si="6"/>
        <v>0</v>
      </c>
    </row>
    <row r="450" spans="10:24" x14ac:dyDescent="0.3">
      <c r="J450">
        <v>449</v>
      </c>
      <c r="K450">
        <v>7</v>
      </c>
      <c r="L450">
        <v>4</v>
      </c>
      <c r="M450" t="s">
        <v>43</v>
      </c>
      <c r="N450" t="s">
        <v>44</v>
      </c>
      <c r="O450">
        <v>89.7</v>
      </c>
      <c r="P450">
        <v>284.89999999999998</v>
      </c>
      <c r="Q450">
        <v>844</v>
      </c>
      <c r="R450">
        <v>10.1</v>
      </c>
      <c r="S450">
        <v>10.5</v>
      </c>
      <c r="T450">
        <v>77</v>
      </c>
      <c r="U450">
        <v>4</v>
      </c>
      <c r="V450">
        <v>0</v>
      </c>
      <c r="W450">
        <v>0</v>
      </c>
      <c r="X450">
        <f t="shared" si="6"/>
        <v>0</v>
      </c>
    </row>
    <row r="451" spans="10:24" x14ac:dyDescent="0.3">
      <c r="J451">
        <v>450</v>
      </c>
      <c r="K451">
        <v>7</v>
      </c>
      <c r="L451">
        <v>4</v>
      </c>
      <c r="M451" t="s">
        <v>41</v>
      </c>
      <c r="N451" t="s">
        <v>40</v>
      </c>
      <c r="O451">
        <v>91.6</v>
      </c>
      <c r="P451">
        <v>181.3</v>
      </c>
      <c r="Q451">
        <v>613</v>
      </c>
      <c r="R451">
        <v>7.6</v>
      </c>
      <c r="S451">
        <v>19.3</v>
      </c>
      <c r="T451">
        <v>61</v>
      </c>
      <c r="U451">
        <v>4.9000000000000004</v>
      </c>
      <c r="V451">
        <v>0</v>
      </c>
      <c r="W451">
        <v>0</v>
      </c>
      <c r="X451">
        <f t="shared" ref="X451:X514" si="7">IF(W451&gt;0,1,0)</f>
        <v>0</v>
      </c>
    </row>
    <row r="452" spans="10:24" x14ac:dyDescent="0.3">
      <c r="J452">
        <v>451</v>
      </c>
      <c r="K452">
        <v>4</v>
      </c>
      <c r="L452">
        <v>5</v>
      </c>
      <c r="M452" t="s">
        <v>41</v>
      </c>
      <c r="N452" t="s">
        <v>44</v>
      </c>
      <c r="O452">
        <v>95.2</v>
      </c>
      <c r="P452">
        <v>217.7</v>
      </c>
      <c r="Q452">
        <v>690</v>
      </c>
      <c r="R452">
        <v>18</v>
      </c>
      <c r="S452">
        <v>23.4</v>
      </c>
      <c r="T452">
        <v>49</v>
      </c>
      <c r="U452">
        <v>5.4</v>
      </c>
      <c r="V452">
        <v>0</v>
      </c>
      <c r="W452">
        <v>6.43</v>
      </c>
      <c r="X452">
        <f t="shared" si="7"/>
        <v>1</v>
      </c>
    </row>
    <row r="453" spans="10:24" x14ac:dyDescent="0.3">
      <c r="J453">
        <v>452</v>
      </c>
      <c r="K453">
        <v>1</v>
      </c>
      <c r="L453">
        <v>4</v>
      </c>
      <c r="M453" t="s">
        <v>41</v>
      </c>
      <c r="N453" t="s">
        <v>36</v>
      </c>
      <c r="O453">
        <v>90.5</v>
      </c>
      <c r="P453">
        <v>196.8</v>
      </c>
      <c r="Q453">
        <v>649.9</v>
      </c>
      <c r="R453">
        <v>16.3</v>
      </c>
      <c r="S453">
        <v>11.8</v>
      </c>
      <c r="T453">
        <v>88</v>
      </c>
      <c r="U453">
        <v>4.9000000000000004</v>
      </c>
      <c r="V453">
        <v>0</v>
      </c>
      <c r="W453">
        <v>9.7100000000000009</v>
      </c>
      <c r="X453">
        <f t="shared" si="7"/>
        <v>1</v>
      </c>
    </row>
    <row r="454" spans="10:24" x14ac:dyDescent="0.3">
      <c r="J454">
        <v>453</v>
      </c>
      <c r="K454">
        <v>7</v>
      </c>
      <c r="L454">
        <v>4</v>
      </c>
      <c r="M454" t="s">
        <v>41</v>
      </c>
      <c r="N454" t="s">
        <v>42</v>
      </c>
      <c r="O454">
        <v>91.5</v>
      </c>
      <c r="P454">
        <v>238.2</v>
      </c>
      <c r="Q454">
        <v>730.6</v>
      </c>
      <c r="R454">
        <v>7.5</v>
      </c>
      <c r="S454">
        <v>17.7</v>
      </c>
      <c r="T454">
        <v>65</v>
      </c>
      <c r="U454">
        <v>4</v>
      </c>
      <c r="V454">
        <v>0</v>
      </c>
      <c r="W454">
        <v>0</v>
      </c>
      <c r="X454">
        <f t="shared" si="7"/>
        <v>0</v>
      </c>
    </row>
    <row r="455" spans="10:24" x14ac:dyDescent="0.3">
      <c r="J455">
        <v>454</v>
      </c>
      <c r="K455">
        <v>4</v>
      </c>
      <c r="L455">
        <v>5</v>
      </c>
      <c r="M455" t="s">
        <v>41</v>
      </c>
      <c r="N455" t="s">
        <v>48</v>
      </c>
      <c r="O455">
        <v>89.4</v>
      </c>
      <c r="P455">
        <v>266.2</v>
      </c>
      <c r="Q455">
        <v>803.3</v>
      </c>
      <c r="R455">
        <v>5.6</v>
      </c>
      <c r="S455">
        <v>17.399999999999999</v>
      </c>
      <c r="T455">
        <v>54</v>
      </c>
      <c r="U455">
        <v>3.1</v>
      </c>
      <c r="V455">
        <v>0</v>
      </c>
      <c r="W455">
        <v>0</v>
      </c>
      <c r="X455">
        <f t="shared" si="7"/>
        <v>0</v>
      </c>
    </row>
    <row r="456" spans="10:24" x14ac:dyDescent="0.3">
      <c r="J456">
        <v>455</v>
      </c>
      <c r="K456">
        <v>3</v>
      </c>
      <c r="L456">
        <v>4</v>
      </c>
      <c r="M456" t="s">
        <v>41</v>
      </c>
      <c r="N456" t="s">
        <v>48</v>
      </c>
      <c r="O456">
        <v>91.6</v>
      </c>
      <c r="P456">
        <v>248.4</v>
      </c>
      <c r="Q456">
        <v>753.8</v>
      </c>
      <c r="R456">
        <v>6.3</v>
      </c>
      <c r="S456">
        <v>16.8</v>
      </c>
      <c r="T456">
        <v>56</v>
      </c>
      <c r="U456">
        <v>3.1</v>
      </c>
      <c r="V456">
        <v>0</v>
      </c>
      <c r="W456">
        <v>0</v>
      </c>
      <c r="X456">
        <f t="shared" si="7"/>
        <v>0</v>
      </c>
    </row>
    <row r="457" spans="10:24" x14ac:dyDescent="0.3">
      <c r="J457">
        <v>456</v>
      </c>
      <c r="K457">
        <v>3</v>
      </c>
      <c r="L457">
        <v>4</v>
      </c>
      <c r="M457" t="s">
        <v>47</v>
      </c>
      <c r="N457" t="s">
        <v>42</v>
      </c>
      <c r="O457">
        <v>94.6</v>
      </c>
      <c r="P457">
        <v>160</v>
      </c>
      <c r="Q457">
        <v>567.20000000000005</v>
      </c>
      <c r="R457">
        <v>16.7</v>
      </c>
      <c r="S457">
        <v>17.899999999999999</v>
      </c>
      <c r="T457">
        <v>48</v>
      </c>
      <c r="U457">
        <v>2.7</v>
      </c>
      <c r="V457">
        <v>0</v>
      </c>
      <c r="W457">
        <v>0</v>
      </c>
      <c r="X457">
        <f t="shared" si="7"/>
        <v>0</v>
      </c>
    </row>
    <row r="458" spans="10:24" x14ac:dyDescent="0.3">
      <c r="J458">
        <v>457</v>
      </c>
      <c r="K458">
        <v>2</v>
      </c>
      <c r="L458">
        <v>4</v>
      </c>
      <c r="M458" t="s">
        <v>41</v>
      </c>
      <c r="N458" t="s">
        <v>48</v>
      </c>
      <c r="O458">
        <v>91.6</v>
      </c>
      <c r="P458">
        <v>248.4</v>
      </c>
      <c r="Q458">
        <v>753.8</v>
      </c>
      <c r="R458">
        <v>6.3</v>
      </c>
      <c r="S458">
        <v>16.600000000000001</v>
      </c>
      <c r="T458">
        <v>59</v>
      </c>
      <c r="U458">
        <v>2.7</v>
      </c>
      <c r="V458">
        <v>0</v>
      </c>
      <c r="W458">
        <v>0</v>
      </c>
      <c r="X458">
        <f t="shared" si="7"/>
        <v>0</v>
      </c>
    </row>
    <row r="459" spans="10:24" x14ac:dyDescent="0.3">
      <c r="J459">
        <v>458</v>
      </c>
      <c r="K459">
        <v>1</v>
      </c>
      <c r="L459">
        <v>4</v>
      </c>
      <c r="M459" t="s">
        <v>41</v>
      </c>
      <c r="N459" t="s">
        <v>44</v>
      </c>
      <c r="O459">
        <v>91.7</v>
      </c>
      <c r="P459">
        <v>191.4</v>
      </c>
      <c r="Q459">
        <v>635.9</v>
      </c>
      <c r="R459">
        <v>7.8</v>
      </c>
      <c r="S459">
        <v>19.899999999999999</v>
      </c>
      <c r="T459">
        <v>50</v>
      </c>
      <c r="U459">
        <v>4</v>
      </c>
      <c r="V459">
        <v>0</v>
      </c>
      <c r="W459">
        <v>82.75</v>
      </c>
      <c r="X459">
        <f t="shared" si="7"/>
        <v>1</v>
      </c>
    </row>
    <row r="460" spans="10:24" x14ac:dyDescent="0.3">
      <c r="J460">
        <v>459</v>
      </c>
      <c r="K460">
        <v>8</v>
      </c>
      <c r="L460">
        <v>6</v>
      </c>
      <c r="M460" t="s">
        <v>41</v>
      </c>
      <c r="N460" t="s">
        <v>39</v>
      </c>
      <c r="O460">
        <v>93.7</v>
      </c>
      <c r="P460">
        <v>231.1</v>
      </c>
      <c r="Q460">
        <v>715.1</v>
      </c>
      <c r="R460">
        <v>8.4</v>
      </c>
      <c r="S460">
        <v>18.899999999999999</v>
      </c>
      <c r="T460">
        <v>64</v>
      </c>
      <c r="U460">
        <v>4.9000000000000004</v>
      </c>
      <c r="V460">
        <v>0</v>
      </c>
      <c r="W460">
        <v>3.32</v>
      </c>
      <c r="X460">
        <f t="shared" si="7"/>
        <v>1</v>
      </c>
    </row>
    <row r="461" spans="10:24" x14ac:dyDescent="0.3">
      <c r="J461">
        <v>460</v>
      </c>
      <c r="K461">
        <v>7</v>
      </c>
      <c r="L461">
        <v>4</v>
      </c>
      <c r="M461" t="s">
        <v>41</v>
      </c>
      <c r="N461" t="s">
        <v>39</v>
      </c>
      <c r="O461">
        <v>91.6</v>
      </c>
      <c r="P461">
        <v>273.8</v>
      </c>
      <c r="Q461">
        <v>819.1</v>
      </c>
      <c r="R461">
        <v>7.7</v>
      </c>
      <c r="S461">
        <v>15.5</v>
      </c>
      <c r="T461">
        <v>72</v>
      </c>
      <c r="U461">
        <v>8</v>
      </c>
      <c r="V461">
        <v>0</v>
      </c>
      <c r="W461">
        <v>1.94</v>
      </c>
      <c r="X461">
        <f t="shared" si="7"/>
        <v>1</v>
      </c>
    </row>
    <row r="462" spans="10:24" x14ac:dyDescent="0.3">
      <c r="J462">
        <v>461</v>
      </c>
      <c r="K462">
        <v>2</v>
      </c>
      <c r="L462">
        <v>5</v>
      </c>
      <c r="M462" t="s">
        <v>41</v>
      </c>
      <c r="N462" t="s">
        <v>39</v>
      </c>
      <c r="O462">
        <v>93.7</v>
      </c>
      <c r="P462">
        <v>231.1</v>
      </c>
      <c r="Q462">
        <v>715.1</v>
      </c>
      <c r="R462">
        <v>8.4</v>
      </c>
      <c r="S462">
        <v>18.899999999999999</v>
      </c>
      <c r="T462">
        <v>64</v>
      </c>
      <c r="U462">
        <v>4.9000000000000004</v>
      </c>
      <c r="V462">
        <v>0</v>
      </c>
      <c r="W462">
        <v>0</v>
      </c>
      <c r="X462">
        <f t="shared" si="7"/>
        <v>0</v>
      </c>
    </row>
    <row r="463" spans="10:24" x14ac:dyDescent="0.3">
      <c r="J463">
        <v>462</v>
      </c>
      <c r="K463">
        <v>8</v>
      </c>
      <c r="L463">
        <v>6</v>
      </c>
      <c r="M463" t="s">
        <v>41</v>
      </c>
      <c r="N463" t="s">
        <v>39</v>
      </c>
      <c r="O463">
        <v>93.7</v>
      </c>
      <c r="P463">
        <v>231.1</v>
      </c>
      <c r="Q463">
        <v>715.1</v>
      </c>
      <c r="R463">
        <v>8.4</v>
      </c>
      <c r="S463">
        <v>18.899999999999999</v>
      </c>
      <c r="T463">
        <v>64</v>
      </c>
      <c r="U463">
        <v>4.9000000000000004</v>
      </c>
      <c r="V463">
        <v>0</v>
      </c>
      <c r="W463">
        <v>0</v>
      </c>
      <c r="X463">
        <f t="shared" si="7"/>
        <v>0</v>
      </c>
    </row>
    <row r="464" spans="10:24" x14ac:dyDescent="0.3">
      <c r="J464">
        <v>463</v>
      </c>
      <c r="K464">
        <v>1</v>
      </c>
      <c r="L464">
        <v>4</v>
      </c>
      <c r="M464" t="s">
        <v>43</v>
      </c>
      <c r="N464" t="s">
        <v>40</v>
      </c>
      <c r="O464">
        <v>91</v>
      </c>
      <c r="P464">
        <v>276.3</v>
      </c>
      <c r="Q464">
        <v>825.1</v>
      </c>
      <c r="R464">
        <v>7.1</v>
      </c>
      <c r="S464">
        <v>14.5</v>
      </c>
      <c r="T464">
        <v>76</v>
      </c>
      <c r="U464">
        <v>7.6</v>
      </c>
      <c r="V464">
        <v>0</v>
      </c>
      <c r="W464">
        <v>3.71</v>
      </c>
      <c r="X464">
        <f t="shared" si="7"/>
        <v>1</v>
      </c>
    </row>
    <row r="465" spans="10:24" x14ac:dyDescent="0.3">
      <c r="J465">
        <v>464</v>
      </c>
      <c r="K465">
        <v>6</v>
      </c>
      <c r="L465">
        <v>5</v>
      </c>
      <c r="M465" t="s">
        <v>49</v>
      </c>
      <c r="N465" t="s">
        <v>38</v>
      </c>
      <c r="O465">
        <v>75.099999999999994</v>
      </c>
      <c r="P465">
        <v>4.4000000000000004</v>
      </c>
      <c r="Q465">
        <v>16.2</v>
      </c>
      <c r="R465">
        <v>1.9</v>
      </c>
      <c r="S465">
        <v>4.5999999999999996</v>
      </c>
      <c r="T465">
        <v>82</v>
      </c>
      <c r="U465">
        <v>6.3</v>
      </c>
      <c r="V465">
        <v>0</v>
      </c>
      <c r="W465">
        <v>5.39</v>
      </c>
      <c r="X465">
        <f t="shared" si="7"/>
        <v>1</v>
      </c>
    </row>
    <row r="466" spans="10:24" x14ac:dyDescent="0.3">
      <c r="J466">
        <v>465</v>
      </c>
      <c r="K466">
        <v>6</v>
      </c>
      <c r="L466">
        <v>4</v>
      </c>
      <c r="M466" t="s">
        <v>49</v>
      </c>
      <c r="N466" t="s">
        <v>38</v>
      </c>
      <c r="O466">
        <v>75.099999999999994</v>
      </c>
      <c r="P466">
        <v>4.4000000000000004</v>
      </c>
      <c r="Q466">
        <v>16.2</v>
      </c>
      <c r="R466">
        <v>1.9</v>
      </c>
      <c r="S466">
        <v>5.0999999999999996</v>
      </c>
      <c r="T466">
        <v>77</v>
      </c>
      <c r="U466">
        <v>5.4</v>
      </c>
      <c r="V466">
        <v>0</v>
      </c>
      <c r="W466">
        <v>2.14</v>
      </c>
      <c r="X466">
        <f t="shared" si="7"/>
        <v>1</v>
      </c>
    </row>
    <row r="467" spans="10:24" x14ac:dyDescent="0.3">
      <c r="J467">
        <v>466</v>
      </c>
      <c r="K467">
        <v>2</v>
      </c>
      <c r="L467">
        <v>2</v>
      </c>
      <c r="M467" t="s">
        <v>49</v>
      </c>
      <c r="N467" t="s">
        <v>39</v>
      </c>
      <c r="O467">
        <v>79.5</v>
      </c>
      <c r="P467">
        <v>3.6</v>
      </c>
      <c r="Q467">
        <v>15.3</v>
      </c>
      <c r="R467">
        <v>1.8</v>
      </c>
      <c r="S467">
        <v>4.5999999999999996</v>
      </c>
      <c r="T467">
        <v>59</v>
      </c>
      <c r="U467">
        <v>0.9</v>
      </c>
      <c r="V467">
        <v>0</v>
      </c>
      <c r="W467">
        <v>6.84</v>
      </c>
      <c r="X467">
        <f t="shared" si="7"/>
        <v>1</v>
      </c>
    </row>
    <row r="468" spans="10:24" x14ac:dyDescent="0.3">
      <c r="J468">
        <v>467</v>
      </c>
      <c r="K468">
        <v>6</v>
      </c>
      <c r="L468">
        <v>5</v>
      </c>
      <c r="M468" t="s">
        <v>35</v>
      </c>
      <c r="N468" t="s">
        <v>42</v>
      </c>
      <c r="O468">
        <v>87.2</v>
      </c>
      <c r="P468">
        <v>15.1</v>
      </c>
      <c r="Q468">
        <v>36.9</v>
      </c>
      <c r="R468">
        <v>7.1</v>
      </c>
      <c r="S468">
        <v>10.199999999999999</v>
      </c>
      <c r="T468">
        <v>45</v>
      </c>
      <c r="U468">
        <v>5.8</v>
      </c>
      <c r="V468">
        <v>0</v>
      </c>
      <c r="W468">
        <v>3.18</v>
      </c>
      <c r="X468">
        <f t="shared" si="7"/>
        <v>1</v>
      </c>
    </row>
    <row r="469" spans="10:24" x14ac:dyDescent="0.3">
      <c r="J469">
        <v>468</v>
      </c>
      <c r="K469">
        <v>3</v>
      </c>
      <c r="L469">
        <v>4</v>
      </c>
      <c r="M469" t="s">
        <v>35</v>
      </c>
      <c r="N469" t="s">
        <v>44</v>
      </c>
      <c r="O469">
        <v>90.2</v>
      </c>
      <c r="P469">
        <v>18.5</v>
      </c>
      <c r="Q469">
        <v>41.1</v>
      </c>
      <c r="R469">
        <v>7.3</v>
      </c>
      <c r="S469">
        <v>11.2</v>
      </c>
      <c r="T469">
        <v>41</v>
      </c>
      <c r="U469">
        <v>5.4</v>
      </c>
      <c r="V469">
        <v>0</v>
      </c>
      <c r="W469">
        <v>5.55</v>
      </c>
      <c r="X469">
        <f t="shared" si="7"/>
        <v>1</v>
      </c>
    </row>
    <row r="470" spans="10:24" x14ac:dyDescent="0.3">
      <c r="J470">
        <v>469</v>
      </c>
      <c r="K470">
        <v>6</v>
      </c>
      <c r="L470">
        <v>5</v>
      </c>
      <c r="M470" t="s">
        <v>35</v>
      </c>
      <c r="N470" t="s">
        <v>48</v>
      </c>
      <c r="O470">
        <v>91.3</v>
      </c>
      <c r="P470">
        <v>20.6</v>
      </c>
      <c r="Q470">
        <v>43.5</v>
      </c>
      <c r="R470">
        <v>8.5</v>
      </c>
      <c r="S470">
        <v>13.3</v>
      </c>
      <c r="T470">
        <v>27</v>
      </c>
      <c r="U470">
        <v>3.6</v>
      </c>
      <c r="V470">
        <v>0</v>
      </c>
      <c r="W470">
        <v>6.61</v>
      </c>
      <c r="X470">
        <f t="shared" si="7"/>
        <v>1</v>
      </c>
    </row>
    <row r="471" spans="10:24" x14ac:dyDescent="0.3">
      <c r="J471">
        <v>470</v>
      </c>
      <c r="K471">
        <v>6</v>
      </c>
      <c r="L471">
        <v>3</v>
      </c>
      <c r="M471" t="s">
        <v>45</v>
      </c>
      <c r="N471" t="s">
        <v>40</v>
      </c>
      <c r="O471">
        <v>91</v>
      </c>
      <c r="P471">
        <v>14.6</v>
      </c>
      <c r="Q471">
        <v>25.6</v>
      </c>
      <c r="R471">
        <v>12.3</v>
      </c>
      <c r="S471">
        <v>13.7</v>
      </c>
      <c r="T471">
        <v>33</v>
      </c>
      <c r="U471">
        <v>9.4</v>
      </c>
      <c r="V471">
        <v>0</v>
      </c>
      <c r="W471">
        <v>61.13</v>
      </c>
      <c r="X471">
        <f t="shared" si="7"/>
        <v>1</v>
      </c>
    </row>
    <row r="472" spans="10:24" x14ac:dyDescent="0.3">
      <c r="J472">
        <v>471</v>
      </c>
      <c r="K472">
        <v>5</v>
      </c>
      <c r="L472">
        <v>4</v>
      </c>
      <c r="M472" t="s">
        <v>45</v>
      </c>
      <c r="N472" t="s">
        <v>40</v>
      </c>
      <c r="O472">
        <v>91</v>
      </c>
      <c r="P472">
        <v>14.6</v>
      </c>
      <c r="Q472">
        <v>25.6</v>
      </c>
      <c r="R472">
        <v>12.3</v>
      </c>
      <c r="S472">
        <v>17.600000000000001</v>
      </c>
      <c r="T472">
        <v>27</v>
      </c>
      <c r="U472">
        <v>5.8</v>
      </c>
      <c r="V472">
        <v>0</v>
      </c>
      <c r="W472">
        <v>0</v>
      </c>
      <c r="X472">
        <f t="shared" si="7"/>
        <v>0</v>
      </c>
    </row>
    <row r="473" spans="10:24" x14ac:dyDescent="0.3">
      <c r="J473">
        <v>472</v>
      </c>
      <c r="K473">
        <v>4</v>
      </c>
      <c r="L473">
        <v>3</v>
      </c>
      <c r="M473" t="s">
        <v>52</v>
      </c>
      <c r="N473" t="s">
        <v>36</v>
      </c>
      <c r="O473">
        <v>89.6</v>
      </c>
      <c r="P473">
        <v>25.4</v>
      </c>
      <c r="Q473">
        <v>73.7</v>
      </c>
      <c r="R473">
        <v>5.7</v>
      </c>
      <c r="S473">
        <v>18</v>
      </c>
      <c r="T473">
        <v>40</v>
      </c>
      <c r="U473">
        <v>4</v>
      </c>
      <c r="V473">
        <v>0</v>
      </c>
      <c r="W473">
        <v>38.479999999999997</v>
      </c>
      <c r="X473">
        <f t="shared" si="7"/>
        <v>1</v>
      </c>
    </row>
    <row r="474" spans="10:24" x14ac:dyDescent="0.3">
      <c r="J474">
        <v>473</v>
      </c>
      <c r="K474">
        <v>8</v>
      </c>
      <c r="L474">
        <v>3</v>
      </c>
      <c r="M474" t="s">
        <v>46</v>
      </c>
      <c r="N474" t="s">
        <v>42</v>
      </c>
      <c r="O474">
        <v>88.2</v>
      </c>
      <c r="P474">
        <v>96.2</v>
      </c>
      <c r="Q474">
        <v>229</v>
      </c>
      <c r="R474">
        <v>4.7</v>
      </c>
      <c r="S474">
        <v>14.3</v>
      </c>
      <c r="T474">
        <v>79</v>
      </c>
      <c r="U474">
        <v>4</v>
      </c>
      <c r="V474">
        <v>0</v>
      </c>
      <c r="W474">
        <v>1.94</v>
      </c>
      <c r="X474">
        <f t="shared" si="7"/>
        <v>1</v>
      </c>
    </row>
    <row r="475" spans="10:24" x14ac:dyDescent="0.3">
      <c r="J475">
        <v>474</v>
      </c>
      <c r="K475">
        <v>9</v>
      </c>
      <c r="L475">
        <v>4</v>
      </c>
      <c r="M475" t="s">
        <v>46</v>
      </c>
      <c r="N475" t="s">
        <v>39</v>
      </c>
      <c r="O475">
        <v>90.5</v>
      </c>
      <c r="P475">
        <v>61.1</v>
      </c>
      <c r="Q475">
        <v>252.6</v>
      </c>
      <c r="R475">
        <v>9.4</v>
      </c>
      <c r="S475">
        <v>24.5</v>
      </c>
      <c r="T475">
        <v>50</v>
      </c>
      <c r="U475">
        <v>3.1</v>
      </c>
      <c r="V475">
        <v>0</v>
      </c>
      <c r="W475">
        <v>70.319999999999993</v>
      </c>
      <c r="X475">
        <f t="shared" si="7"/>
        <v>1</v>
      </c>
    </row>
    <row r="476" spans="10:24" x14ac:dyDescent="0.3">
      <c r="J476">
        <v>475</v>
      </c>
      <c r="K476">
        <v>4</v>
      </c>
      <c r="L476">
        <v>3</v>
      </c>
      <c r="M476" t="s">
        <v>46</v>
      </c>
      <c r="N476" t="s">
        <v>48</v>
      </c>
      <c r="O476">
        <v>93</v>
      </c>
      <c r="P476">
        <v>103.8</v>
      </c>
      <c r="Q476">
        <v>316.7</v>
      </c>
      <c r="R476">
        <v>10.8</v>
      </c>
      <c r="S476">
        <v>26.4</v>
      </c>
      <c r="T476">
        <v>35</v>
      </c>
      <c r="U476">
        <v>2.7</v>
      </c>
      <c r="V476">
        <v>0</v>
      </c>
      <c r="W476">
        <v>10.08</v>
      </c>
      <c r="X476">
        <f t="shared" si="7"/>
        <v>1</v>
      </c>
    </row>
    <row r="477" spans="10:24" x14ac:dyDescent="0.3">
      <c r="J477">
        <v>476</v>
      </c>
      <c r="K477">
        <v>2</v>
      </c>
      <c r="L477">
        <v>5</v>
      </c>
      <c r="M477" t="s">
        <v>46</v>
      </c>
      <c r="N477" t="s">
        <v>48</v>
      </c>
      <c r="O477">
        <v>93.7</v>
      </c>
      <c r="P477">
        <v>121.7</v>
      </c>
      <c r="Q477">
        <v>350.2</v>
      </c>
      <c r="R477">
        <v>18</v>
      </c>
      <c r="S477">
        <v>22.7</v>
      </c>
      <c r="T477">
        <v>40</v>
      </c>
      <c r="U477">
        <v>9.4</v>
      </c>
      <c r="V477">
        <v>0</v>
      </c>
      <c r="W477">
        <v>3.19</v>
      </c>
      <c r="X477">
        <f t="shared" si="7"/>
        <v>1</v>
      </c>
    </row>
    <row r="478" spans="10:24" x14ac:dyDescent="0.3">
      <c r="J478">
        <v>477</v>
      </c>
      <c r="K478">
        <v>4</v>
      </c>
      <c r="L478">
        <v>3</v>
      </c>
      <c r="M478" t="s">
        <v>47</v>
      </c>
      <c r="N478" t="s">
        <v>48</v>
      </c>
      <c r="O478">
        <v>93.5</v>
      </c>
      <c r="P478">
        <v>85.3</v>
      </c>
      <c r="Q478">
        <v>395</v>
      </c>
      <c r="R478">
        <v>9.9</v>
      </c>
      <c r="S478">
        <v>27.2</v>
      </c>
      <c r="T478">
        <v>28</v>
      </c>
      <c r="U478">
        <v>1.3</v>
      </c>
      <c r="V478">
        <v>0</v>
      </c>
      <c r="W478">
        <v>1.76</v>
      </c>
      <c r="X478">
        <f t="shared" si="7"/>
        <v>1</v>
      </c>
    </row>
    <row r="479" spans="10:24" x14ac:dyDescent="0.3">
      <c r="J479">
        <v>478</v>
      </c>
      <c r="K479">
        <v>4</v>
      </c>
      <c r="L479">
        <v>3</v>
      </c>
      <c r="M479" t="s">
        <v>47</v>
      </c>
      <c r="N479" t="s">
        <v>40</v>
      </c>
      <c r="O479">
        <v>93.7</v>
      </c>
      <c r="P479">
        <v>101.3</v>
      </c>
      <c r="Q479">
        <v>423.4</v>
      </c>
      <c r="R479">
        <v>14.7</v>
      </c>
      <c r="S479">
        <v>26.1</v>
      </c>
      <c r="T479">
        <v>45</v>
      </c>
      <c r="U479">
        <v>4</v>
      </c>
      <c r="V479">
        <v>0</v>
      </c>
      <c r="W479">
        <v>7.36</v>
      </c>
      <c r="X479">
        <f t="shared" si="7"/>
        <v>1</v>
      </c>
    </row>
    <row r="480" spans="10:24" x14ac:dyDescent="0.3">
      <c r="J480">
        <v>479</v>
      </c>
      <c r="K480">
        <v>7</v>
      </c>
      <c r="L480">
        <v>4</v>
      </c>
      <c r="M480" t="s">
        <v>47</v>
      </c>
      <c r="N480" t="s">
        <v>40</v>
      </c>
      <c r="O480">
        <v>93.7</v>
      </c>
      <c r="P480">
        <v>101.3</v>
      </c>
      <c r="Q480">
        <v>423.4</v>
      </c>
      <c r="R480">
        <v>14.7</v>
      </c>
      <c r="S480">
        <v>18.2</v>
      </c>
      <c r="T480">
        <v>82</v>
      </c>
      <c r="U480">
        <v>4.5</v>
      </c>
      <c r="V480">
        <v>0</v>
      </c>
      <c r="W480">
        <v>2.21</v>
      </c>
      <c r="X480">
        <f t="shared" si="7"/>
        <v>1</v>
      </c>
    </row>
    <row r="481" spans="10:24" x14ac:dyDescent="0.3">
      <c r="J481">
        <v>480</v>
      </c>
      <c r="K481">
        <v>7</v>
      </c>
      <c r="L481">
        <v>4</v>
      </c>
      <c r="M481" t="s">
        <v>47</v>
      </c>
      <c r="N481" t="s">
        <v>42</v>
      </c>
      <c r="O481">
        <v>89.2</v>
      </c>
      <c r="P481">
        <v>103.9</v>
      </c>
      <c r="Q481">
        <v>431.6</v>
      </c>
      <c r="R481">
        <v>6.4</v>
      </c>
      <c r="S481">
        <v>22.6</v>
      </c>
      <c r="T481">
        <v>57</v>
      </c>
      <c r="U481">
        <v>4.9000000000000004</v>
      </c>
      <c r="V481">
        <v>0</v>
      </c>
      <c r="W481">
        <v>278.52999999999997</v>
      </c>
      <c r="X481">
        <f t="shared" si="7"/>
        <v>1</v>
      </c>
    </row>
    <row r="482" spans="10:24" x14ac:dyDescent="0.3">
      <c r="J482">
        <v>481</v>
      </c>
      <c r="K482">
        <v>9</v>
      </c>
      <c r="L482">
        <v>9</v>
      </c>
      <c r="M482" t="s">
        <v>47</v>
      </c>
      <c r="N482" t="s">
        <v>48</v>
      </c>
      <c r="O482">
        <v>93.2</v>
      </c>
      <c r="P482">
        <v>114.4</v>
      </c>
      <c r="Q482">
        <v>560</v>
      </c>
      <c r="R482">
        <v>9.5</v>
      </c>
      <c r="S482">
        <v>30.2</v>
      </c>
      <c r="T482">
        <v>25</v>
      </c>
      <c r="U482">
        <v>4.5</v>
      </c>
      <c r="V482">
        <v>0</v>
      </c>
      <c r="W482">
        <v>2.75</v>
      </c>
      <c r="X482">
        <f t="shared" si="7"/>
        <v>1</v>
      </c>
    </row>
    <row r="483" spans="10:24" x14ac:dyDescent="0.3">
      <c r="J483">
        <v>482</v>
      </c>
      <c r="K483">
        <v>4</v>
      </c>
      <c r="L483">
        <v>3</v>
      </c>
      <c r="M483" t="s">
        <v>47</v>
      </c>
      <c r="N483" t="s">
        <v>48</v>
      </c>
      <c r="O483">
        <v>93.2</v>
      </c>
      <c r="P483">
        <v>114.4</v>
      </c>
      <c r="Q483">
        <v>560</v>
      </c>
      <c r="R483">
        <v>9.5</v>
      </c>
      <c r="S483">
        <v>30.2</v>
      </c>
      <c r="T483">
        <v>22</v>
      </c>
      <c r="U483">
        <v>4.9000000000000004</v>
      </c>
      <c r="V483">
        <v>0</v>
      </c>
      <c r="W483">
        <v>0</v>
      </c>
      <c r="X483">
        <f t="shared" si="7"/>
        <v>0</v>
      </c>
    </row>
    <row r="484" spans="10:24" x14ac:dyDescent="0.3">
      <c r="J484">
        <v>483</v>
      </c>
      <c r="K484">
        <v>3</v>
      </c>
      <c r="L484">
        <v>4</v>
      </c>
      <c r="M484" t="s">
        <v>41</v>
      </c>
      <c r="N484" t="s">
        <v>40</v>
      </c>
      <c r="O484">
        <v>94.9</v>
      </c>
      <c r="P484">
        <v>130.30000000000001</v>
      </c>
      <c r="Q484">
        <v>587.1</v>
      </c>
      <c r="R484">
        <v>14.1</v>
      </c>
      <c r="S484">
        <v>23.4</v>
      </c>
      <c r="T484">
        <v>40</v>
      </c>
      <c r="U484">
        <v>5.8</v>
      </c>
      <c r="V484">
        <v>0</v>
      </c>
      <c r="W484">
        <v>1.29</v>
      </c>
      <c r="X484">
        <f t="shared" si="7"/>
        <v>1</v>
      </c>
    </row>
    <row r="485" spans="10:24" x14ac:dyDescent="0.3">
      <c r="J485">
        <v>484</v>
      </c>
      <c r="K485">
        <v>8</v>
      </c>
      <c r="L485">
        <v>6</v>
      </c>
      <c r="M485" t="s">
        <v>41</v>
      </c>
      <c r="N485" t="s">
        <v>40</v>
      </c>
      <c r="O485">
        <v>94.9</v>
      </c>
      <c r="P485">
        <v>130.30000000000001</v>
      </c>
      <c r="Q485">
        <v>587.1</v>
      </c>
      <c r="R485">
        <v>14.1</v>
      </c>
      <c r="S485">
        <v>31</v>
      </c>
      <c r="T485">
        <v>27</v>
      </c>
      <c r="U485">
        <v>5.4</v>
      </c>
      <c r="V485">
        <v>0</v>
      </c>
      <c r="W485">
        <v>0</v>
      </c>
      <c r="X485">
        <f t="shared" si="7"/>
        <v>0</v>
      </c>
    </row>
    <row r="486" spans="10:24" x14ac:dyDescent="0.3">
      <c r="J486">
        <v>485</v>
      </c>
      <c r="K486">
        <v>2</v>
      </c>
      <c r="L486">
        <v>5</v>
      </c>
      <c r="M486" t="s">
        <v>41</v>
      </c>
      <c r="N486" t="s">
        <v>40</v>
      </c>
      <c r="O486">
        <v>94.9</v>
      </c>
      <c r="P486">
        <v>130.30000000000001</v>
      </c>
      <c r="Q486">
        <v>587.1</v>
      </c>
      <c r="R486">
        <v>14.1</v>
      </c>
      <c r="S486">
        <v>33.1</v>
      </c>
      <c r="T486">
        <v>25</v>
      </c>
      <c r="U486">
        <v>4</v>
      </c>
      <c r="V486">
        <v>0</v>
      </c>
      <c r="W486">
        <v>26.43</v>
      </c>
      <c r="X486">
        <f t="shared" si="7"/>
        <v>1</v>
      </c>
    </row>
    <row r="487" spans="10:24" x14ac:dyDescent="0.3">
      <c r="J487">
        <v>486</v>
      </c>
      <c r="K487">
        <v>2</v>
      </c>
      <c r="L487">
        <v>4</v>
      </c>
      <c r="M487" t="s">
        <v>41</v>
      </c>
      <c r="N487" t="s">
        <v>42</v>
      </c>
      <c r="O487">
        <v>95</v>
      </c>
      <c r="P487">
        <v>135.5</v>
      </c>
      <c r="Q487">
        <v>596.29999999999995</v>
      </c>
      <c r="R487">
        <v>21.3</v>
      </c>
      <c r="S487">
        <v>30.6</v>
      </c>
      <c r="T487">
        <v>28</v>
      </c>
      <c r="U487">
        <v>3.6</v>
      </c>
      <c r="V487">
        <v>0</v>
      </c>
      <c r="W487">
        <v>2.0699999999999998</v>
      </c>
      <c r="X487">
        <f t="shared" si="7"/>
        <v>1</v>
      </c>
    </row>
    <row r="488" spans="10:24" x14ac:dyDescent="0.3">
      <c r="J488">
        <v>487</v>
      </c>
      <c r="K488">
        <v>5</v>
      </c>
      <c r="L488">
        <v>4</v>
      </c>
      <c r="M488" t="s">
        <v>41</v>
      </c>
      <c r="N488" t="s">
        <v>38</v>
      </c>
      <c r="O488">
        <v>95.1</v>
      </c>
      <c r="P488">
        <v>141.30000000000001</v>
      </c>
      <c r="Q488">
        <v>605.79999999999995</v>
      </c>
      <c r="R488">
        <v>17.7</v>
      </c>
      <c r="S488">
        <v>24.1</v>
      </c>
      <c r="T488">
        <v>43</v>
      </c>
      <c r="U488">
        <v>6.3</v>
      </c>
      <c r="V488">
        <v>0</v>
      </c>
      <c r="W488">
        <v>2</v>
      </c>
      <c r="X488">
        <f t="shared" si="7"/>
        <v>1</v>
      </c>
    </row>
    <row r="489" spans="10:24" x14ac:dyDescent="0.3">
      <c r="J489">
        <v>488</v>
      </c>
      <c r="K489">
        <v>5</v>
      </c>
      <c r="L489">
        <v>4</v>
      </c>
      <c r="M489" t="s">
        <v>41</v>
      </c>
      <c r="N489" t="s">
        <v>38</v>
      </c>
      <c r="O489">
        <v>95.1</v>
      </c>
      <c r="P489">
        <v>141.30000000000001</v>
      </c>
      <c r="Q489">
        <v>605.79999999999995</v>
      </c>
      <c r="R489">
        <v>17.7</v>
      </c>
      <c r="S489">
        <v>26.4</v>
      </c>
      <c r="T489">
        <v>34</v>
      </c>
      <c r="U489">
        <v>3.6</v>
      </c>
      <c r="V489">
        <v>0</v>
      </c>
      <c r="W489">
        <v>16.399999999999999</v>
      </c>
      <c r="X489">
        <f t="shared" si="7"/>
        <v>1</v>
      </c>
    </row>
    <row r="490" spans="10:24" x14ac:dyDescent="0.3">
      <c r="J490">
        <v>489</v>
      </c>
      <c r="K490">
        <v>4</v>
      </c>
      <c r="L490">
        <v>4</v>
      </c>
      <c r="M490" t="s">
        <v>41</v>
      </c>
      <c r="N490" t="s">
        <v>38</v>
      </c>
      <c r="O490">
        <v>95.1</v>
      </c>
      <c r="P490">
        <v>141.30000000000001</v>
      </c>
      <c r="Q490">
        <v>605.79999999999995</v>
      </c>
      <c r="R490">
        <v>17.7</v>
      </c>
      <c r="S490">
        <v>19.399999999999999</v>
      </c>
      <c r="T490">
        <v>71</v>
      </c>
      <c r="U490">
        <v>7.6</v>
      </c>
      <c r="V490">
        <v>0</v>
      </c>
      <c r="W490">
        <v>46.7</v>
      </c>
      <c r="X490">
        <f t="shared" si="7"/>
        <v>1</v>
      </c>
    </row>
    <row r="491" spans="10:24" x14ac:dyDescent="0.3">
      <c r="J491">
        <v>490</v>
      </c>
      <c r="K491">
        <v>4</v>
      </c>
      <c r="L491">
        <v>4</v>
      </c>
      <c r="M491" t="s">
        <v>41</v>
      </c>
      <c r="N491" t="s">
        <v>44</v>
      </c>
      <c r="O491">
        <v>95.1</v>
      </c>
      <c r="P491">
        <v>141.30000000000001</v>
      </c>
      <c r="Q491">
        <v>605.79999999999995</v>
      </c>
      <c r="R491">
        <v>17.7</v>
      </c>
      <c r="S491">
        <v>20.6</v>
      </c>
      <c r="T491">
        <v>58</v>
      </c>
      <c r="U491">
        <v>1.3</v>
      </c>
      <c r="V491">
        <v>0</v>
      </c>
      <c r="W491">
        <v>0</v>
      </c>
      <c r="X491">
        <f t="shared" si="7"/>
        <v>0</v>
      </c>
    </row>
    <row r="492" spans="10:24" x14ac:dyDescent="0.3">
      <c r="J492">
        <v>491</v>
      </c>
      <c r="K492">
        <v>4</v>
      </c>
      <c r="L492">
        <v>4</v>
      </c>
      <c r="M492" t="s">
        <v>41</v>
      </c>
      <c r="N492" t="s">
        <v>44</v>
      </c>
      <c r="O492">
        <v>95.1</v>
      </c>
      <c r="P492">
        <v>141.30000000000001</v>
      </c>
      <c r="Q492">
        <v>605.79999999999995</v>
      </c>
      <c r="R492">
        <v>17.7</v>
      </c>
      <c r="S492">
        <v>28.7</v>
      </c>
      <c r="T492">
        <v>33</v>
      </c>
      <c r="U492">
        <v>4</v>
      </c>
      <c r="V492">
        <v>0</v>
      </c>
      <c r="W492">
        <v>0</v>
      </c>
      <c r="X492">
        <f t="shared" si="7"/>
        <v>0</v>
      </c>
    </row>
    <row r="493" spans="10:24" x14ac:dyDescent="0.3">
      <c r="J493">
        <v>492</v>
      </c>
      <c r="K493">
        <v>4</v>
      </c>
      <c r="L493">
        <v>4</v>
      </c>
      <c r="M493" t="s">
        <v>41</v>
      </c>
      <c r="N493" t="s">
        <v>48</v>
      </c>
      <c r="O493">
        <v>95.8</v>
      </c>
      <c r="P493">
        <v>152</v>
      </c>
      <c r="Q493">
        <v>624.1</v>
      </c>
      <c r="R493">
        <v>13.8</v>
      </c>
      <c r="S493">
        <v>32.4</v>
      </c>
      <c r="T493">
        <v>21</v>
      </c>
      <c r="U493">
        <v>4.5</v>
      </c>
      <c r="V493">
        <v>0</v>
      </c>
      <c r="W493">
        <v>0</v>
      </c>
      <c r="X493">
        <f t="shared" si="7"/>
        <v>0</v>
      </c>
    </row>
    <row r="494" spans="10:24" x14ac:dyDescent="0.3">
      <c r="J494">
        <v>493</v>
      </c>
      <c r="K494">
        <v>1</v>
      </c>
      <c r="L494">
        <v>3</v>
      </c>
      <c r="M494" t="s">
        <v>41</v>
      </c>
      <c r="N494" t="s">
        <v>36</v>
      </c>
      <c r="O494">
        <v>95.9</v>
      </c>
      <c r="P494">
        <v>158</v>
      </c>
      <c r="Q494">
        <v>633.6</v>
      </c>
      <c r="R494">
        <v>11.3</v>
      </c>
      <c r="S494">
        <v>32.4</v>
      </c>
      <c r="T494">
        <v>27</v>
      </c>
      <c r="U494">
        <v>2.2000000000000002</v>
      </c>
      <c r="V494">
        <v>0</v>
      </c>
      <c r="W494">
        <v>0</v>
      </c>
      <c r="X494">
        <f t="shared" si="7"/>
        <v>0</v>
      </c>
    </row>
    <row r="495" spans="10:24" x14ac:dyDescent="0.3">
      <c r="J495">
        <v>494</v>
      </c>
      <c r="K495">
        <v>1</v>
      </c>
      <c r="L495">
        <v>3</v>
      </c>
      <c r="M495" t="s">
        <v>41</v>
      </c>
      <c r="N495" t="s">
        <v>36</v>
      </c>
      <c r="O495">
        <v>95.9</v>
      </c>
      <c r="P495">
        <v>158</v>
      </c>
      <c r="Q495">
        <v>633.6</v>
      </c>
      <c r="R495">
        <v>11.3</v>
      </c>
      <c r="S495">
        <v>27.5</v>
      </c>
      <c r="T495">
        <v>29</v>
      </c>
      <c r="U495">
        <v>4.5</v>
      </c>
      <c r="V495">
        <v>0</v>
      </c>
      <c r="W495">
        <v>43.32</v>
      </c>
      <c r="X495">
        <f t="shared" si="7"/>
        <v>1</v>
      </c>
    </row>
    <row r="496" spans="10:24" x14ac:dyDescent="0.3">
      <c r="J496">
        <v>495</v>
      </c>
      <c r="K496">
        <v>6</v>
      </c>
      <c r="L496">
        <v>6</v>
      </c>
      <c r="M496" t="s">
        <v>41</v>
      </c>
      <c r="N496" t="s">
        <v>39</v>
      </c>
      <c r="O496">
        <v>96</v>
      </c>
      <c r="P496">
        <v>164</v>
      </c>
      <c r="Q496">
        <v>643</v>
      </c>
      <c r="R496">
        <v>14</v>
      </c>
      <c r="S496">
        <v>30.8</v>
      </c>
      <c r="T496">
        <v>30</v>
      </c>
      <c r="U496">
        <v>4.9000000000000004</v>
      </c>
      <c r="V496">
        <v>0</v>
      </c>
      <c r="W496">
        <v>8.59</v>
      </c>
      <c r="X496">
        <f t="shared" si="7"/>
        <v>1</v>
      </c>
    </row>
    <row r="497" spans="10:24" x14ac:dyDescent="0.3">
      <c r="J497">
        <v>496</v>
      </c>
      <c r="K497">
        <v>6</v>
      </c>
      <c r="L497">
        <v>6</v>
      </c>
      <c r="M497" t="s">
        <v>41</v>
      </c>
      <c r="N497" t="s">
        <v>42</v>
      </c>
      <c r="O497">
        <v>96.2</v>
      </c>
      <c r="P497">
        <v>175.5</v>
      </c>
      <c r="Q497">
        <v>661.8</v>
      </c>
      <c r="R497">
        <v>16.8</v>
      </c>
      <c r="S497">
        <v>23.9</v>
      </c>
      <c r="T497">
        <v>42</v>
      </c>
      <c r="U497">
        <v>2.2000000000000002</v>
      </c>
      <c r="V497">
        <v>0</v>
      </c>
      <c r="W497">
        <v>0</v>
      </c>
      <c r="X497">
        <f t="shared" si="7"/>
        <v>0</v>
      </c>
    </row>
    <row r="498" spans="10:24" x14ac:dyDescent="0.3">
      <c r="J498">
        <v>497</v>
      </c>
      <c r="K498">
        <v>4</v>
      </c>
      <c r="L498">
        <v>5</v>
      </c>
      <c r="M498" t="s">
        <v>41</v>
      </c>
      <c r="N498" t="s">
        <v>42</v>
      </c>
      <c r="O498">
        <v>96.2</v>
      </c>
      <c r="P498">
        <v>175.5</v>
      </c>
      <c r="Q498">
        <v>661.8</v>
      </c>
      <c r="R498">
        <v>16.8</v>
      </c>
      <c r="S498">
        <v>32.6</v>
      </c>
      <c r="T498">
        <v>26</v>
      </c>
      <c r="U498">
        <v>3.1</v>
      </c>
      <c r="V498">
        <v>0</v>
      </c>
      <c r="W498">
        <v>2.77</v>
      </c>
      <c r="X498">
        <f t="shared" si="7"/>
        <v>1</v>
      </c>
    </row>
    <row r="499" spans="10:24" x14ac:dyDescent="0.3">
      <c r="J499">
        <v>498</v>
      </c>
      <c r="K499">
        <v>3</v>
      </c>
      <c r="L499">
        <v>4</v>
      </c>
      <c r="M499" t="s">
        <v>41</v>
      </c>
      <c r="N499" t="s">
        <v>38</v>
      </c>
      <c r="O499">
        <v>96.1</v>
      </c>
      <c r="P499">
        <v>181.1</v>
      </c>
      <c r="Q499">
        <v>671.2</v>
      </c>
      <c r="R499">
        <v>14.3</v>
      </c>
      <c r="S499">
        <v>32.299999999999997</v>
      </c>
      <c r="T499">
        <v>27</v>
      </c>
      <c r="U499">
        <v>2.2000000000000002</v>
      </c>
      <c r="V499">
        <v>0</v>
      </c>
      <c r="W499">
        <v>14.68</v>
      </c>
      <c r="X499">
        <f t="shared" si="7"/>
        <v>1</v>
      </c>
    </row>
    <row r="500" spans="10:24" x14ac:dyDescent="0.3">
      <c r="J500">
        <v>499</v>
      </c>
      <c r="K500">
        <v>6</v>
      </c>
      <c r="L500">
        <v>5</v>
      </c>
      <c r="M500" t="s">
        <v>41</v>
      </c>
      <c r="N500" t="s">
        <v>38</v>
      </c>
      <c r="O500">
        <v>96.1</v>
      </c>
      <c r="P500">
        <v>181.1</v>
      </c>
      <c r="Q500">
        <v>671.2</v>
      </c>
      <c r="R500">
        <v>14.3</v>
      </c>
      <c r="S500">
        <v>33.299999999999997</v>
      </c>
      <c r="T500">
        <v>26</v>
      </c>
      <c r="U500">
        <v>2.7</v>
      </c>
      <c r="V500">
        <v>0</v>
      </c>
      <c r="W500">
        <v>40.54</v>
      </c>
      <c r="X500">
        <f t="shared" si="7"/>
        <v>1</v>
      </c>
    </row>
    <row r="501" spans="10:24" x14ac:dyDescent="0.3">
      <c r="J501">
        <v>500</v>
      </c>
      <c r="K501">
        <v>7</v>
      </c>
      <c r="L501">
        <v>5</v>
      </c>
      <c r="M501" t="s">
        <v>41</v>
      </c>
      <c r="N501" t="s">
        <v>38</v>
      </c>
      <c r="O501">
        <v>96.1</v>
      </c>
      <c r="P501">
        <v>181.1</v>
      </c>
      <c r="Q501">
        <v>671.2</v>
      </c>
      <c r="R501">
        <v>14.3</v>
      </c>
      <c r="S501">
        <v>27.3</v>
      </c>
      <c r="T501">
        <v>63</v>
      </c>
      <c r="U501">
        <v>4.9000000000000004</v>
      </c>
      <c r="V501">
        <v>6.4</v>
      </c>
      <c r="W501">
        <v>10.82</v>
      </c>
      <c r="X501">
        <f t="shared" si="7"/>
        <v>1</v>
      </c>
    </row>
    <row r="502" spans="10:24" x14ac:dyDescent="0.3">
      <c r="J502">
        <v>501</v>
      </c>
      <c r="K502">
        <v>8</v>
      </c>
      <c r="L502">
        <v>6</v>
      </c>
      <c r="M502" t="s">
        <v>41</v>
      </c>
      <c r="N502" t="s">
        <v>38</v>
      </c>
      <c r="O502">
        <v>96.1</v>
      </c>
      <c r="P502">
        <v>181.1</v>
      </c>
      <c r="Q502">
        <v>671.2</v>
      </c>
      <c r="R502">
        <v>14.3</v>
      </c>
      <c r="S502">
        <v>21.6</v>
      </c>
      <c r="T502">
        <v>65</v>
      </c>
      <c r="U502">
        <v>4.9000000000000004</v>
      </c>
      <c r="V502">
        <v>0.8</v>
      </c>
      <c r="W502">
        <v>0</v>
      </c>
      <c r="X502">
        <f t="shared" si="7"/>
        <v>0</v>
      </c>
    </row>
    <row r="503" spans="10:24" x14ac:dyDescent="0.3">
      <c r="J503">
        <v>502</v>
      </c>
      <c r="K503">
        <v>7</v>
      </c>
      <c r="L503">
        <v>5</v>
      </c>
      <c r="M503" t="s">
        <v>41</v>
      </c>
      <c r="N503" t="s">
        <v>38</v>
      </c>
      <c r="O503">
        <v>96.1</v>
      </c>
      <c r="P503">
        <v>181.1</v>
      </c>
      <c r="Q503">
        <v>671.2</v>
      </c>
      <c r="R503">
        <v>14.3</v>
      </c>
      <c r="S503">
        <v>21.6</v>
      </c>
      <c r="T503">
        <v>65</v>
      </c>
      <c r="U503">
        <v>4.9000000000000004</v>
      </c>
      <c r="V503">
        <v>0.8</v>
      </c>
      <c r="W503">
        <v>0</v>
      </c>
      <c r="X503">
        <f t="shared" si="7"/>
        <v>0</v>
      </c>
    </row>
    <row r="504" spans="10:24" x14ac:dyDescent="0.3">
      <c r="J504">
        <v>503</v>
      </c>
      <c r="K504">
        <v>4</v>
      </c>
      <c r="L504">
        <v>4</v>
      </c>
      <c r="M504" t="s">
        <v>41</v>
      </c>
      <c r="N504" t="s">
        <v>38</v>
      </c>
      <c r="O504">
        <v>96.1</v>
      </c>
      <c r="P504">
        <v>181.1</v>
      </c>
      <c r="Q504">
        <v>671.2</v>
      </c>
      <c r="R504">
        <v>14.3</v>
      </c>
      <c r="S504">
        <v>20.7</v>
      </c>
      <c r="T504">
        <v>69</v>
      </c>
      <c r="U504">
        <v>4.9000000000000004</v>
      </c>
      <c r="V504">
        <v>0.4</v>
      </c>
      <c r="W504">
        <v>0</v>
      </c>
      <c r="X504">
        <f t="shared" si="7"/>
        <v>0</v>
      </c>
    </row>
    <row r="505" spans="10:24" x14ac:dyDescent="0.3">
      <c r="J505">
        <v>504</v>
      </c>
      <c r="K505">
        <v>2</v>
      </c>
      <c r="L505">
        <v>4</v>
      </c>
      <c r="M505" t="s">
        <v>41</v>
      </c>
      <c r="N505" t="s">
        <v>44</v>
      </c>
      <c r="O505">
        <v>94.5</v>
      </c>
      <c r="P505">
        <v>139.4</v>
      </c>
      <c r="Q505">
        <v>689.1</v>
      </c>
      <c r="R505">
        <v>20</v>
      </c>
      <c r="S505">
        <v>29.2</v>
      </c>
      <c r="T505">
        <v>30</v>
      </c>
      <c r="U505">
        <v>4.9000000000000004</v>
      </c>
      <c r="V505">
        <v>0</v>
      </c>
      <c r="W505">
        <v>1.95</v>
      </c>
      <c r="X505">
        <f t="shared" si="7"/>
        <v>1</v>
      </c>
    </row>
    <row r="506" spans="10:24" x14ac:dyDescent="0.3">
      <c r="J506">
        <v>505</v>
      </c>
      <c r="K506">
        <v>4</v>
      </c>
      <c r="L506">
        <v>3</v>
      </c>
      <c r="M506" t="s">
        <v>41</v>
      </c>
      <c r="N506" t="s">
        <v>44</v>
      </c>
      <c r="O506">
        <v>94.5</v>
      </c>
      <c r="P506">
        <v>139.4</v>
      </c>
      <c r="Q506">
        <v>689.1</v>
      </c>
      <c r="R506">
        <v>20</v>
      </c>
      <c r="S506">
        <v>28.9</v>
      </c>
      <c r="T506">
        <v>29</v>
      </c>
      <c r="U506">
        <v>4.9000000000000004</v>
      </c>
      <c r="V506">
        <v>0</v>
      </c>
      <c r="W506">
        <v>49.59</v>
      </c>
      <c r="X506">
        <f t="shared" si="7"/>
        <v>1</v>
      </c>
    </row>
    <row r="507" spans="10:24" x14ac:dyDescent="0.3">
      <c r="J507">
        <v>506</v>
      </c>
      <c r="K507">
        <v>1</v>
      </c>
      <c r="L507">
        <v>2</v>
      </c>
      <c r="M507" t="s">
        <v>41</v>
      </c>
      <c r="N507" t="s">
        <v>48</v>
      </c>
      <c r="O507">
        <v>91</v>
      </c>
      <c r="P507">
        <v>163.19999999999999</v>
      </c>
      <c r="Q507">
        <v>744.4</v>
      </c>
      <c r="R507">
        <v>10.1</v>
      </c>
      <c r="S507">
        <v>26.7</v>
      </c>
      <c r="T507">
        <v>35</v>
      </c>
      <c r="U507">
        <v>1.8</v>
      </c>
      <c r="V507">
        <v>0</v>
      </c>
      <c r="W507">
        <v>5.8</v>
      </c>
      <c r="X507">
        <f t="shared" si="7"/>
        <v>1</v>
      </c>
    </row>
    <row r="508" spans="10:24" x14ac:dyDescent="0.3">
      <c r="J508">
        <v>507</v>
      </c>
      <c r="K508">
        <v>1</v>
      </c>
      <c r="L508">
        <v>2</v>
      </c>
      <c r="M508" t="s">
        <v>41</v>
      </c>
      <c r="N508" t="s">
        <v>36</v>
      </c>
      <c r="O508">
        <v>91</v>
      </c>
      <c r="P508">
        <v>166.9</v>
      </c>
      <c r="Q508">
        <v>752.6</v>
      </c>
      <c r="R508">
        <v>7.1</v>
      </c>
      <c r="S508">
        <v>18.5</v>
      </c>
      <c r="T508">
        <v>73</v>
      </c>
      <c r="U508">
        <v>8.5</v>
      </c>
      <c r="V508">
        <v>0</v>
      </c>
      <c r="W508">
        <v>0</v>
      </c>
      <c r="X508">
        <f t="shared" si="7"/>
        <v>0</v>
      </c>
    </row>
    <row r="509" spans="10:24" x14ac:dyDescent="0.3">
      <c r="J509">
        <v>508</v>
      </c>
      <c r="K509">
        <v>2</v>
      </c>
      <c r="L509">
        <v>4</v>
      </c>
      <c r="M509" t="s">
        <v>41</v>
      </c>
      <c r="N509" t="s">
        <v>36</v>
      </c>
      <c r="O509">
        <v>91</v>
      </c>
      <c r="P509">
        <v>166.9</v>
      </c>
      <c r="Q509">
        <v>752.6</v>
      </c>
      <c r="R509">
        <v>7.1</v>
      </c>
      <c r="S509">
        <v>25.9</v>
      </c>
      <c r="T509">
        <v>41</v>
      </c>
      <c r="U509">
        <v>3.6</v>
      </c>
      <c r="V509">
        <v>0</v>
      </c>
      <c r="W509">
        <v>0</v>
      </c>
      <c r="X509">
        <f t="shared" si="7"/>
        <v>0</v>
      </c>
    </row>
    <row r="510" spans="10:24" x14ac:dyDescent="0.3">
      <c r="J510">
        <v>509</v>
      </c>
      <c r="K510">
        <v>1</v>
      </c>
      <c r="L510">
        <v>2</v>
      </c>
      <c r="M510" t="s">
        <v>41</v>
      </c>
      <c r="N510" t="s">
        <v>36</v>
      </c>
      <c r="O510">
        <v>91</v>
      </c>
      <c r="P510">
        <v>166.9</v>
      </c>
      <c r="Q510">
        <v>752.6</v>
      </c>
      <c r="R510">
        <v>7.1</v>
      </c>
      <c r="S510">
        <v>25.9</v>
      </c>
      <c r="T510">
        <v>41</v>
      </c>
      <c r="U510">
        <v>3.6</v>
      </c>
      <c r="V510">
        <v>0</v>
      </c>
      <c r="W510">
        <v>0</v>
      </c>
      <c r="X510">
        <f t="shared" si="7"/>
        <v>0</v>
      </c>
    </row>
    <row r="511" spans="10:24" x14ac:dyDescent="0.3">
      <c r="J511">
        <v>510</v>
      </c>
      <c r="K511">
        <v>5</v>
      </c>
      <c r="L511">
        <v>4</v>
      </c>
      <c r="M511" t="s">
        <v>41</v>
      </c>
      <c r="N511" t="s">
        <v>36</v>
      </c>
      <c r="O511">
        <v>91</v>
      </c>
      <c r="P511">
        <v>166.9</v>
      </c>
      <c r="Q511">
        <v>752.6</v>
      </c>
      <c r="R511">
        <v>7.1</v>
      </c>
      <c r="S511">
        <v>21.1</v>
      </c>
      <c r="T511">
        <v>71</v>
      </c>
      <c r="U511">
        <v>7.6</v>
      </c>
      <c r="V511">
        <v>1.4</v>
      </c>
      <c r="W511">
        <v>2.17</v>
      </c>
      <c r="X511">
        <f t="shared" si="7"/>
        <v>1</v>
      </c>
    </row>
    <row r="512" spans="10:24" x14ac:dyDescent="0.3">
      <c r="J512">
        <v>511</v>
      </c>
      <c r="K512">
        <v>6</v>
      </c>
      <c r="L512">
        <v>5</v>
      </c>
      <c r="M512" t="s">
        <v>41</v>
      </c>
      <c r="N512" t="s">
        <v>36</v>
      </c>
      <c r="O512">
        <v>91</v>
      </c>
      <c r="P512">
        <v>166.9</v>
      </c>
      <c r="Q512">
        <v>752.6</v>
      </c>
      <c r="R512">
        <v>7.1</v>
      </c>
      <c r="S512">
        <v>18.2</v>
      </c>
      <c r="T512">
        <v>62</v>
      </c>
      <c r="U512">
        <v>5.4</v>
      </c>
      <c r="V512">
        <v>0</v>
      </c>
      <c r="W512">
        <v>0.43</v>
      </c>
      <c r="X512">
        <f t="shared" si="7"/>
        <v>1</v>
      </c>
    </row>
    <row r="513" spans="10:24" x14ac:dyDescent="0.3">
      <c r="J513">
        <v>512</v>
      </c>
      <c r="K513">
        <v>8</v>
      </c>
      <c r="L513">
        <v>6</v>
      </c>
      <c r="M513" t="s">
        <v>41</v>
      </c>
      <c r="N513" t="s">
        <v>40</v>
      </c>
      <c r="O513">
        <v>81.599999999999994</v>
      </c>
      <c r="P513">
        <v>56.7</v>
      </c>
      <c r="Q513">
        <v>665.6</v>
      </c>
      <c r="R513">
        <v>1.9</v>
      </c>
      <c r="S513">
        <v>27.8</v>
      </c>
      <c r="T513">
        <v>35</v>
      </c>
      <c r="U513">
        <v>2.7</v>
      </c>
      <c r="V513">
        <v>0</v>
      </c>
      <c r="W513">
        <v>0</v>
      </c>
      <c r="X513">
        <f t="shared" si="7"/>
        <v>0</v>
      </c>
    </row>
    <row r="514" spans="10:24" x14ac:dyDescent="0.3">
      <c r="J514">
        <v>513</v>
      </c>
      <c r="K514">
        <v>4</v>
      </c>
      <c r="L514">
        <v>3</v>
      </c>
      <c r="M514" t="s">
        <v>41</v>
      </c>
      <c r="N514" t="s">
        <v>40</v>
      </c>
      <c r="O514">
        <v>81.599999999999994</v>
      </c>
      <c r="P514">
        <v>56.7</v>
      </c>
      <c r="Q514">
        <v>665.6</v>
      </c>
      <c r="R514">
        <v>1.9</v>
      </c>
      <c r="S514">
        <v>27.8</v>
      </c>
      <c r="T514">
        <v>32</v>
      </c>
      <c r="U514">
        <v>2.7</v>
      </c>
      <c r="V514">
        <v>0</v>
      </c>
      <c r="W514">
        <v>6.44</v>
      </c>
      <c r="X514">
        <f t="shared" si="7"/>
        <v>1</v>
      </c>
    </row>
    <row r="515" spans="10:24" x14ac:dyDescent="0.3">
      <c r="J515">
        <v>514</v>
      </c>
      <c r="K515">
        <v>2</v>
      </c>
      <c r="L515">
        <v>4</v>
      </c>
      <c r="M515" t="s">
        <v>41</v>
      </c>
      <c r="N515" t="s">
        <v>40</v>
      </c>
      <c r="O515">
        <v>81.599999999999994</v>
      </c>
      <c r="P515">
        <v>56.7</v>
      </c>
      <c r="Q515">
        <v>665.6</v>
      </c>
      <c r="R515">
        <v>1.9</v>
      </c>
      <c r="S515">
        <v>21.9</v>
      </c>
      <c r="T515">
        <v>71</v>
      </c>
      <c r="U515">
        <v>5.8</v>
      </c>
      <c r="V515">
        <v>0</v>
      </c>
      <c r="W515">
        <v>54.29</v>
      </c>
      <c r="X515">
        <f t="shared" ref="X515:X518" si="8">IF(W515&gt;0,1,0)</f>
        <v>1</v>
      </c>
    </row>
    <row r="516" spans="10:24" x14ac:dyDescent="0.3">
      <c r="J516">
        <v>515</v>
      </c>
      <c r="K516">
        <v>7</v>
      </c>
      <c r="L516">
        <v>4</v>
      </c>
      <c r="M516" t="s">
        <v>41</v>
      </c>
      <c r="N516" t="s">
        <v>40</v>
      </c>
      <c r="O516">
        <v>81.599999999999994</v>
      </c>
      <c r="P516">
        <v>56.7</v>
      </c>
      <c r="Q516">
        <v>665.6</v>
      </c>
      <c r="R516">
        <v>1.9</v>
      </c>
      <c r="S516">
        <v>21.2</v>
      </c>
      <c r="T516">
        <v>70</v>
      </c>
      <c r="U516">
        <v>6.7</v>
      </c>
      <c r="V516">
        <v>0</v>
      </c>
      <c r="W516">
        <v>11.16</v>
      </c>
      <c r="X516">
        <f t="shared" si="8"/>
        <v>1</v>
      </c>
    </row>
    <row r="517" spans="10:24" x14ac:dyDescent="0.3">
      <c r="J517">
        <v>516</v>
      </c>
      <c r="K517">
        <v>1</v>
      </c>
      <c r="L517">
        <v>4</v>
      </c>
      <c r="M517" t="s">
        <v>41</v>
      </c>
      <c r="N517" t="s">
        <v>39</v>
      </c>
      <c r="O517">
        <v>94.4</v>
      </c>
      <c r="P517">
        <v>146</v>
      </c>
      <c r="Q517">
        <v>614.70000000000005</v>
      </c>
      <c r="R517">
        <v>11.3</v>
      </c>
      <c r="S517">
        <v>25.6</v>
      </c>
      <c r="T517">
        <v>42</v>
      </c>
      <c r="U517">
        <v>4</v>
      </c>
      <c r="V517">
        <v>0</v>
      </c>
      <c r="W517">
        <v>0</v>
      </c>
      <c r="X517">
        <f t="shared" si="8"/>
        <v>0</v>
      </c>
    </row>
    <row r="518" spans="10:24" x14ac:dyDescent="0.3">
      <c r="J518">
        <v>517</v>
      </c>
      <c r="K518">
        <v>6</v>
      </c>
      <c r="L518">
        <v>3</v>
      </c>
      <c r="M518" t="s">
        <v>53</v>
      </c>
      <c r="N518" t="s">
        <v>38</v>
      </c>
      <c r="O518">
        <v>79.5</v>
      </c>
      <c r="P518">
        <v>3</v>
      </c>
      <c r="Q518">
        <v>106.7</v>
      </c>
      <c r="R518">
        <v>1.1000000000000001</v>
      </c>
      <c r="S518">
        <v>11.8</v>
      </c>
      <c r="T518">
        <v>31</v>
      </c>
      <c r="U518">
        <v>4.5</v>
      </c>
      <c r="V518">
        <v>0</v>
      </c>
      <c r="W518">
        <v>0</v>
      </c>
      <c r="X518">
        <f t="shared" si="8"/>
        <v>0</v>
      </c>
    </row>
  </sheetData>
  <mergeCells count="5">
    <mergeCell ref="A32:H34"/>
    <mergeCell ref="A19:H22"/>
    <mergeCell ref="A24:H26"/>
    <mergeCell ref="A28:H30"/>
    <mergeCell ref="A1:H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frontespizio</vt:lpstr>
      <vt:lpstr>Es 1</vt:lpstr>
      <vt:lpstr>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Vandertic</dc:creator>
  <cp:lastModifiedBy>Francesco Morandin</cp:lastModifiedBy>
  <dcterms:created xsi:type="dcterms:W3CDTF">2017-06-13T15:53:57Z</dcterms:created>
  <dcterms:modified xsi:type="dcterms:W3CDTF">2025-09-02T09:54:55Z</dcterms:modified>
</cp:coreProperties>
</file>